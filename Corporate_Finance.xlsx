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nav\Downloads\"/>
    </mc:Choice>
  </mc:AlternateContent>
  <xr:revisionPtr revIDLastSave="0" documentId="13_ncr:1_{60A6A579-B253-409C-8279-FA9DD96F7D41}" xr6:coauthVersionLast="47" xr6:coauthVersionMax="47" xr10:uidLastSave="{00000000-0000-0000-0000-000000000000}"/>
  <bookViews>
    <workbookView xWindow="-110" yWindow="-110" windowWidth="25820" windowHeight="13900" firstSheet="31" activeTab="34" xr2:uid="{00000000-000D-0000-FFFF-FFFF00000000}"/>
  </bookViews>
  <sheets>
    <sheet name="P1-Simple Interest" sheetId="1" r:id="rId1"/>
    <sheet name="P2-Compound Interest" sheetId="2" r:id="rId2"/>
    <sheet name="P3-Calc. PV &amp; More" sheetId="3" r:id="rId3"/>
    <sheet name="P4-Calc. FV &amp; More" sheetId="4" r:id="rId4"/>
    <sheet name="P5-Calc. Cash Payment" sheetId="5" r:id="rId5"/>
    <sheet name="P6-Calc. NPV" sheetId="7" r:id="rId6"/>
    <sheet name="P7-Calc. NPV" sheetId="8" r:id="rId7"/>
    <sheet name="P8-Free Cash Flow" sheetId="9" r:id="rId8"/>
    <sheet name="P9-Calc. Risk-Free Bond" sheetId="10" r:id="rId9"/>
    <sheet name="P10-Calc. Risk-Free Bond" sheetId="11" r:id="rId10"/>
    <sheet name="P11-Calc. Duration" sheetId="12" r:id="rId11"/>
    <sheet name="P12-Calc. Forward Interest Rate" sheetId="14" r:id="rId12"/>
    <sheet name="P13-Bond's Instrinsic Value" sheetId="15" r:id="rId13"/>
    <sheet name="P14-Calc. Bond Price by GGM" sheetId="16" r:id="rId14"/>
    <sheet name="P15-Multi-Stage Growth Model" sheetId="17" r:id="rId15"/>
    <sheet name="P16-Total Payout Model" sheetId="18" r:id="rId16"/>
    <sheet name="P17-FCF" sheetId="19" r:id="rId17"/>
    <sheet name="P18-Comparable Firms" sheetId="20" r:id="rId18"/>
    <sheet name="P19-CAPM" sheetId="21" r:id="rId19"/>
    <sheet name="P20-Risk Premium" sheetId="22" r:id="rId20"/>
    <sheet name="P21-Equity Cost of Capital" sheetId="23" r:id="rId21"/>
    <sheet name="P22-Beta Estimation" sheetId="24" r:id="rId22"/>
    <sheet name="P23-Debt Cost of Capital" sheetId="25" r:id="rId23"/>
    <sheet name="P24-Calc. Equity Value" sheetId="26" r:id="rId24"/>
    <sheet name="P25-WACC MM-II" sheetId="27" r:id="rId25"/>
    <sheet name="P26-Interest Tax Deduction" sheetId="28" r:id="rId26"/>
    <sheet name="P27-Interest Tax Shield" sheetId="29" r:id="rId27"/>
    <sheet name="P28-Recapitalization" sheetId="30" r:id="rId28"/>
    <sheet name="P29-Personal Taxes" sheetId="31" r:id="rId29"/>
    <sheet name="P30-Optimal Capital Stucture" sheetId="32" r:id="rId30"/>
    <sheet name="P31-Cost of Bankruptcy" sheetId="33" r:id="rId31"/>
    <sheet name="P32-Financial Distress Costs" sheetId="34" r:id="rId32"/>
    <sheet name="P33-Trade-Off Theory" sheetId="36" r:id="rId33"/>
    <sheet name="P34-Risk &amp; Return" sheetId="37" r:id="rId34"/>
    <sheet name="P35-Measures of Risk and Return" sheetId="38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8" l="1"/>
  <c r="C32" i="38"/>
  <c r="C30" i="38"/>
  <c r="C28" i="38"/>
  <c r="C24" i="38"/>
  <c r="D20" i="38"/>
  <c r="C20" i="38"/>
  <c r="D18" i="38"/>
  <c r="C18" i="38"/>
  <c r="D16" i="38"/>
  <c r="C16" i="38"/>
  <c r="D14" i="38"/>
  <c r="C14" i="38"/>
  <c r="D12" i="37"/>
  <c r="C12" i="37"/>
  <c r="C10" i="37"/>
  <c r="D14" i="33"/>
  <c r="D16" i="33"/>
  <c r="D18" i="33"/>
  <c r="C6" i="4"/>
  <c r="D12" i="31"/>
  <c r="D10" i="31"/>
  <c r="C12" i="25"/>
  <c r="C14" i="25"/>
  <c r="C16" i="25"/>
  <c r="D15" i="24"/>
  <c r="D12" i="24"/>
  <c r="D13" i="24"/>
  <c r="B11" i="10"/>
  <c r="D7" i="2"/>
  <c r="G18" i="19"/>
  <c r="G17" i="19"/>
  <c r="C26" i="38"/>
  <c r="D10" i="37"/>
  <c r="D18" i="36"/>
  <c r="D20" i="36" s="1"/>
  <c r="D16" i="36"/>
  <c r="D14" i="36"/>
  <c r="D28" i="34"/>
  <c r="D24" i="34"/>
  <c r="D22" i="34"/>
  <c r="D18" i="32"/>
  <c r="D16" i="32"/>
  <c r="D14" i="32"/>
  <c r="D18" i="30"/>
  <c r="D20" i="30" s="1"/>
  <c r="D14" i="30"/>
  <c r="D16" i="30" s="1"/>
  <c r="D22" i="30" s="1"/>
  <c r="D12" i="29"/>
  <c r="D10" i="29"/>
  <c r="D14" i="28"/>
  <c r="D12" i="28"/>
  <c r="D10" i="28"/>
  <c r="D16" i="27"/>
  <c r="D14" i="27"/>
  <c r="D12" i="27"/>
  <c r="D10" i="27"/>
  <c r="D14" i="26"/>
  <c r="D12" i="26"/>
  <c r="D10" i="23"/>
  <c r="D14" i="22"/>
  <c r="D12" i="22"/>
  <c r="D10" i="22"/>
  <c r="D10" i="21"/>
  <c r="E6" i="20"/>
  <c r="E7" i="20"/>
  <c r="E8" i="20"/>
  <c r="E5" i="20"/>
  <c r="E9" i="20" s="1"/>
  <c r="E11" i="20" s="1"/>
  <c r="F20" i="19"/>
  <c r="G20" i="19" s="1"/>
  <c r="G16" i="19"/>
  <c r="E17" i="18"/>
  <c r="D17" i="17"/>
  <c r="E15" i="17"/>
  <c r="D15" i="17"/>
  <c r="C15" i="17"/>
  <c r="E13" i="17"/>
  <c r="E14" i="17"/>
  <c r="E12" i="17"/>
  <c r="D13" i="17"/>
  <c r="D14" i="17"/>
  <c r="D12" i="17"/>
  <c r="C14" i="17"/>
  <c r="C13" i="17"/>
  <c r="C12" i="17"/>
  <c r="B9" i="16"/>
  <c r="B7" i="15"/>
  <c r="B7" i="14"/>
  <c r="C10" i="12"/>
  <c r="C11" i="12"/>
  <c r="C9" i="12"/>
  <c r="B11" i="12"/>
  <c r="B10" i="12"/>
  <c r="B9" i="12"/>
  <c r="B10" i="11"/>
  <c r="C6" i="9"/>
  <c r="C10" i="9" s="1"/>
  <c r="E11" i="8"/>
  <c r="D11" i="8"/>
  <c r="C11" i="8"/>
  <c r="E10" i="7"/>
  <c r="C6" i="5"/>
  <c r="C7" i="5" s="1"/>
  <c r="F6" i="4"/>
  <c r="F6" i="3"/>
  <c r="C6" i="3"/>
  <c r="C7" i="2"/>
  <c r="C6" i="1"/>
  <c r="C7" i="1" s="1"/>
  <c r="D14" i="24" l="1"/>
  <c r="G19" i="19"/>
  <c r="G22" i="19"/>
  <c r="G24" i="19" s="1"/>
  <c r="G26" i="19" s="1"/>
  <c r="C22" i="38"/>
  <c r="D22" i="38"/>
  <c r="D26" i="34"/>
  <c r="D9" i="12"/>
  <c r="D11" i="12"/>
  <c r="E11" i="12" s="1"/>
  <c r="D10" i="12"/>
  <c r="E10" i="12" s="1"/>
  <c r="E9" i="12"/>
  <c r="E12" i="12" s="1"/>
  <c r="D12" i="12"/>
  <c r="E7" i="2"/>
  <c r="C8" i="2" s="1"/>
  <c r="D22" i="12" l="1"/>
  <c r="D14" i="12"/>
  <c r="D16" i="12" s="1"/>
  <c r="D18" i="12" s="1"/>
  <c r="D20" i="12" s="1"/>
  <c r="D8" i="2"/>
  <c r="E8" i="2" s="1"/>
  <c r="C9" i="2" s="1"/>
  <c r="D9" i="2" l="1"/>
  <c r="E9" i="2"/>
  <c r="C10" i="2" s="1"/>
  <c r="D10" i="2" l="1"/>
  <c r="E10" i="2"/>
  <c r="C11" i="2" s="1"/>
  <c r="D11" i="2" l="1"/>
  <c r="E11" i="2" s="1"/>
  <c r="C12" i="2" s="1"/>
  <c r="D12" i="2" l="1"/>
  <c r="E12" i="2"/>
  <c r="C13" i="2" s="1"/>
  <c r="D13" i="2" l="1"/>
  <c r="E13" i="2" s="1"/>
  <c r="C14" i="2" s="1"/>
  <c r="D14" i="2" l="1"/>
  <c r="E14" i="2"/>
  <c r="C15" i="2" s="1"/>
  <c r="D15" i="2" l="1"/>
  <c r="E15" i="2" s="1"/>
  <c r="C16" i="2" s="1"/>
  <c r="D16" i="2" l="1"/>
  <c r="E16" i="2" s="1"/>
</calcChain>
</file>

<file path=xl/sharedStrings.xml><?xml version="1.0" encoding="utf-8"?>
<sst xmlns="http://schemas.openxmlformats.org/spreadsheetml/2006/main" count="321" uniqueCount="218">
  <si>
    <t>Simple Interest(SI)</t>
  </si>
  <si>
    <t>Principal</t>
  </si>
  <si>
    <t>Annual Interest Rate</t>
  </si>
  <si>
    <t>Time (in years)</t>
  </si>
  <si>
    <t>Simple Interest (SI)</t>
  </si>
  <si>
    <t>Total Amount (A)</t>
  </si>
  <si>
    <t>COMPOUND INTEREST CALCULATOR</t>
  </si>
  <si>
    <t>Principal Amount</t>
  </si>
  <si>
    <t>Rate of Interest</t>
  </si>
  <si>
    <t>Year</t>
  </si>
  <si>
    <t>Principle Amount</t>
  </si>
  <si>
    <t>Interest</t>
  </si>
  <si>
    <t>Compound Interest</t>
  </si>
  <si>
    <t>EOY</t>
  </si>
  <si>
    <t>1 Year</t>
  </si>
  <si>
    <t>2 Year</t>
  </si>
  <si>
    <t>3 Year</t>
  </si>
  <si>
    <t>4 Year</t>
  </si>
  <si>
    <t>5 Year</t>
  </si>
  <si>
    <t>6 Year</t>
  </si>
  <si>
    <t>7 Year</t>
  </si>
  <si>
    <t>8 Year</t>
  </si>
  <si>
    <t>9 Year</t>
  </si>
  <si>
    <t>10 Year</t>
  </si>
  <si>
    <t>Ordinary Annuity</t>
  </si>
  <si>
    <t>Annuity Due</t>
  </si>
  <si>
    <t>Present Value (PV)</t>
  </si>
  <si>
    <t xml:space="preserve">Present Value (PV) </t>
  </si>
  <si>
    <t>Future Value</t>
  </si>
  <si>
    <t>Interest Rate</t>
  </si>
  <si>
    <t xml:space="preserve">Future Value (FV) </t>
  </si>
  <si>
    <t>Cash Payments (EMI)</t>
  </si>
  <si>
    <t>Amount</t>
  </si>
  <si>
    <t>Period (in years)</t>
  </si>
  <si>
    <t>Annual Payments</t>
  </si>
  <si>
    <t>Monthly Payments</t>
  </si>
  <si>
    <t>Standalone Project</t>
  </si>
  <si>
    <t>Net Present Value (NPV)</t>
  </si>
  <si>
    <t>Initial Investment</t>
  </si>
  <si>
    <t>Discount Rate</t>
  </si>
  <si>
    <t>Cash Flow</t>
  </si>
  <si>
    <r>
      <t>1</t>
    </r>
    <r>
      <rPr>
        <b/>
        <vertAlign val="superscript"/>
        <sz val="9"/>
        <color rgb="FF000000"/>
        <rFont val="Times New Roman"/>
        <family val="1"/>
      </rPr>
      <t xml:space="preserve">st </t>
    </r>
    <r>
      <rPr>
        <b/>
        <sz val="9"/>
        <color rgb="FF000000"/>
        <rFont val="Times New Roman"/>
        <family val="1"/>
      </rPr>
      <t>Year</t>
    </r>
  </si>
  <si>
    <r>
      <t>2</t>
    </r>
    <r>
      <rPr>
        <b/>
        <vertAlign val="superscript"/>
        <sz val="9"/>
        <color rgb="FF000000"/>
        <rFont val="Times New Roman"/>
        <family val="1"/>
      </rPr>
      <t>nd</t>
    </r>
    <r>
      <rPr>
        <b/>
        <sz val="9"/>
        <color rgb="FF000000"/>
        <rFont val="Times New Roman"/>
        <family val="1"/>
      </rPr>
      <t>Year</t>
    </r>
  </si>
  <si>
    <r>
      <t>3</t>
    </r>
    <r>
      <rPr>
        <b/>
        <vertAlign val="superscript"/>
        <sz val="9"/>
        <color rgb="FF000000"/>
        <rFont val="Times New Roman"/>
        <family val="1"/>
      </rPr>
      <t xml:space="preserve">rd </t>
    </r>
    <r>
      <rPr>
        <b/>
        <sz val="9"/>
        <color rgb="FF000000"/>
        <rFont val="Times New Roman"/>
        <family val="1"/>
      </rPr>
      <t>Year</t>
    </r>
  </si>
  <si>
    <r>
      <t>4</t>
    </r>
    <r>
      <rPr>
        <b/>
        <vertAlign val="superscript"/>
        <sz val="9"/>
        <color rgb="FF000000"/>
        <rFont val="Times New Roman"/>
        <family val="1"/>
      </rPr>
      <t xml:space="preserve">th </t>
    </r>
    <r>
      <rPr>
        <b/>
        <sz val="9"/>
        <color rgb="FF000000"/>
        <rFont val="Times New Roman"/>
        <family val="1"/>
      </rPr>
      <t>Year</t>
    </r>
  </si>
  <si>
    <t xml:space="preserve">Comparing Mutually Exclusive Projects </t>
  </si>
  <si>
    <t xml:space="preserve">Initial Investment </t>
  </si>
  <si>
    <t>1st Year</t>
  </si>
  <si>
    <t xml:space="preserve">2nd Year </t>
  </si>
  <si>
    <t>3rd Year</t>
  </si>
  <si>
    <t>Net Present Value(NPV)</t>
  </si>
  <si>
    <t>Project "B"</t>
  </si>
  <si>
    <t>Project "A"</t>
  </si>
  <si>
    <t>Free Cash Flow</t>
  </si>
  <si>
    <t xml:space="preserve">Item </t>
  </si>
  <si>
    <t>Value</t>
  </si>
  <si>
    <t>EBIT</t>
  </si>
  <si>
    <t>Tax Rate</t>
  </si>
  <si>
    <t xml:space="preserve">Net Operating Profit After Tax </t>
  </si>
  <si>
    <t>Depreciation</t>
  </si>
  <si>
    <t xml:space="preserve">Change in Working Capital </t>
  </si>
  <si>
    <t xml:space="preserve">Capital Expenditure </t>
  </si>
  <si>
    <t>Valuing Risk-Free Bond</t>
  </si>
  <si>
    <t>Face Value</t>
  </si>
  <si>
    <t>Coupon Rate</t>
  </si>
  <si>
    <t>Years to Maturity</t>
  </si>
  <si>
    <t>Risk-Free Rate</t>
  </si>
  <si>
    <t>Bond Price (P)</t>
  </si>
  <si>
    <t>Duration</t>
  </si>
  <si>
    <t>Annual Coupon Rate</t>
  </si>
  <si>
    <t>Yield to Maturity</t>
  </si>
  <si>
    <t>Change in Yield</t>
  </si>
  <si>
    <t>PV Factor</t>
  </si>
  <si>
    <t>PV of CF</t>
  </si>
  <si>
    <t>t × PV</t>
  </si>
  <si>
    <t>Sum</t>
  </si>
  <si>
    <t xml:space="preserve">Macaulay Duration (D_Mac) </t>
  </si>
  <si>
    <t>Modified Duration</t>
  </si>
  <si>
    <t>Approximate Change</t>
  </si>
  <si>
    <t>Bond New Price</t>
  </si>
  <si>
    <t>Current Yield</t>
  </si>
  <si>
    <t>Forward Interest Rates</t>
  </si>
  <si>
    <t>1st Year Spot Rate (R1)</t>
  </si>
  <si>
    <t xml:space="preserve">2nd Year Spot Rate (R2) </t>
  </si>
  <si>
    <t>Zero-Growth Model</t>
  </si>
  <si>
    <t>Dividend</t>
  </si>
  <si>
    <t xml:space="preserve">Bond's Intrinsic Value </t>
  </si>
  <si>
    <t>Constant Growth Model                         
(Gordon Growth Model)</t>
  </si>
  <si>
    <t>Rate of Return</t>
  </si>
  <si>
    <t xml:space="preserve">Growth Rate </t>
  </si>
  <si>
    <t xml:space="preserve">Multi-Stage Growth Model </t>
  </si>
  <si>
    <t>Growth Rate (First 3 Years)</t>
  </si>
  <si>
    <t>Growth Rate (After 3 Years)</t>
  </si>
  <si>
    <t xml:space="preserve">Year </t>
  </si>
  <si>
    <t>Terminal Value</t>
  </si>
  <si>
    <t>Discount Factor</t>
  </si>
  <si>
    <t>PV of Dividend</t>
  </si>
  <si>
    <t>Total Value</t>
  </si>
  <si>
    <t>Total Payout Model (TPM)</t>
  </si>
  <si>
    <t>Dividend Per Share</t>
  </si>
  <si>
    <t xml:space="preserve">Repurchase Per Share </t>
  </si>
  <si>
    <t>Growth Rate</t>
  </si>
  <si>
    <t xml:space="preserve">Cost of Equity </t>
  </si>
  <si>
    <t>Intrinsic Value</t>
  </si>
  <si>
    <t xml:space="preserve">Free Cash Flow (FCF) Model </t>
  </si>
  <si>
    <t>WACC</t>
  </si>
  <si>
    <t>Terminal Growth Rate</t>
  </si>
  <si>
    <t>Debt</t>
  </si>
  <si>
    <t>Cash</t>
  </si>
  <si>
    <t>Outstanding Shares</t>
  </si>
  <si>
    <t>FCF</t>
  </si>
  <si>
    <t>PV</t>
  </si>
  <si>
    <t>Total</t>
  </si>
  <si>
    <t>Enterprise Value (EV)</t>
  </si>
  <si>
    <t xml:space="preserve">Equity Value </t>
  </si>
  <si>
    <t xml:space="preserve">Price Per Share </t>
  </si>
  <si>
    <t>Company 'Ambuja Cement' EPS</t>
  </si>
  <si>
    <t>Comparable Company</t>
  </si>
  <si>
    <t>EPS</t>
  </si>
  <si>
    <t>Price</t>
  </si>
  <si>
    <t xml:space="preserve">P/E Ratio </t>
  </si>
  <si>
    <t>ACC Cement</t>
  </si>
  <si>
    <t>Birla Cement</t>
  </si>
  <si>
    <t>Chettinad Cement</t>
  </si>
  <si>
    <t>Dalmia Cement</t>
  </si>
  <si>
    <t xml:space="preserve">Average P/E </t>
  </si>
  <si>
    <t>Estimated Price</t>
  </si>
  <si>
    <t>The Capital Asset Pricing Model (CAPM)</t>
  </si>
  <si>
    <t>Risk-Free Rate (Rf)</t>
  </si>
  <si>
    <t>Market Return (Rm)</t>
  </si>
  <si>
    <t>Beta (β)</t>
  </si>
  <si>
    <t>Expected Return</t>
  </si>
  <si>
    <t>Determining the Risk Premium</t>
  </si>
  <si>
    <t xml:space="preserve">Security Risk Premium </t>
  </si>
  <si>
    <t>Market Risk Premium</t>
  </si>
  <si>
    <t xml:space="preserve">Cost of Equity (Ke) </t>
  </si>
  <si>
    <t xml:space="preserve">Equity Cost of Capital (Ke) </t>
  </si>
  <si>
    <t>Month</t>
  </si>
  <si>
    <t>Stock Return (Ri)</t>
  </si>
  <si>
    <t>Covariance</t>
  </si>
  <si>
    <t>Variance</t>
  </si>
  <si>
    <t>Beta</t>
  </si>
  <si>
    <t>Beta Estimation</t>
  </si>
  <si>
    <t>Debt Cost of Capital (Kd)</t>
  </si>
  <si>
    <t>Yield to Maturity (YTM)</t>
  </si>
  <si>
    <t>Bond Yield for Rating</t>
  </si>
  <si>
    <t>Corporate Tax Rate</t>
  </si>
  <si>
    <t>Cost of Debt using YTM</t>
  </si>
  <si>
    <t>Cost of Debt using Loan Rate</t>
  </si>
  <si>
    <t>Cost of Debt using Credit Rating Yield</t>
  </si>
  <si>
    <t xml:space="preserve">Modigliani–Miller Proposition - I  </t>
  </si>
  <si>
    <t>Cost of Equity for Unleveraged</t>
  </si>
  <si>
    <t>Debt Interest Rate</t>
  </si>
  <si>
    <t>Cost of Debt for Leveraged</t>
  </si>
  <si>
    <t>Value of Unleveraged Firm</t>
  </si>
  <si>
    <t>Equity Value of Firm</t>
  </si>
  <si>
    <t xml:space="preserve">Modigliani–Miller Proposition - II  </t>
  </si>
  <si>
    <t>Unlevered cost of equity (rU)</t>
  </si>
  <si>
    <t>Cost of debt (rD)</t>
  </si>
  <si>
    <t>D/E ratio</t>
  </si>
  <si>
    <t>Levered Cost of Equity (rE)</t>
  </si>
  <si>
    <t>E/V</t>
  </si>
  <si>
    <t>D/V</t>
  </si>
  <si>
    <t>Interest Tax Deduction</t>
  </si>
  <si>
    <t xml:space="preserve">Debt </t>
  </si>
  <si>
    <t xml:space="preserve">Interest </t>
  </si>
  <si>
    <t>Tax Shield</t>
  </si>
  <si>
    <t xml:space="preserve">After-Tax Cost of Debt </t>
  </si>
  <si>
    <t>Valuing the Interest Tax Shield</t>
  </si>
  <si>
    <t>PV (Tax Shield)</t>
  </si>
  <si>
    <t>Recapitalization</t>
  </si>
  <si>
    <t xml:space="preserve">New Firm Value </t>
  </si>
  <si>
    <t>Number of Shares Repurchased</t>
  </si>
  <si>
    <t>New Shares Outstanding</t>
  </si>
  <si>
    <t>New Share Price</t>
  </si>
  <si>
    <t xml:space="preserve">New Debt (D) </t>
  </si>
  <si>
    <t>Current firm value (VU)</t>
  </si>
  <si>
    <t>Tax Rate (T)</t>
  </si>
  <si>
    <t>Shares outstanding</t>
  </si>
  <si>
    <t>Share price</t>
  </si>
  <si>
    <t>Personal Taxes in Capital Structure</t>
  </si>
  <si>
    <t>Corporate tax (TC)</t>
  </si>
  <si>
    <t>Personal tax on interest (TpD)</t>
  </si>
  <si>
    <t>Personal tax on equity (TpE)</t>
  </si>
  <si>
    <t>Effective Tax Advantage of Debt</t>
  </si>
  <si>
    <t xml:space="preserve">Optimal Capital Structure with Taxes </t>
  </si>
  <si>
    <t>Unlevered firm Value (Vu)</t>
  </si>
  <si>
    <t>Debt (D)</t>
  </si>
  <si>
    <t xml:space="preserve">Tax rate </t>
  </si>
  <si>
    <t xml:space="preserve">Distress Probability </t>
  </si>
  <si>
    <t>Distress Cost</t>
  </si>
  <si>
    <t xml:space="preserve">Expected Distress Cost </t>
  </si>
  <si>
    <t xml:space="preserve">Levered Firm Value </t>
  </si>
  <si>
    <t>The Costs of Bankruptcy and Financial Distress</t>
  </si>
  <si>
    <t xml:space="preserve">Interest rate </t>
  </si>
  <si>
    <t>Net Gain</t>
  </si>
  <si>
    <t>The Trade-Off Theory</t>
  </si>
  <si>
    <t>Risk and Return</t>
  </si>
  <si>
    <t>Stock A</t>
  </si>
  <si>
    <t>Bond B</t>
  </si>
  <si>
    <t>Average Return</t>
  </si>
  <si>
    <t>Standard Deviation (Risk)</t>
  </si>
  <si>
    <t>Measures of Risk and Return</t>
  </si>
  <si>
    <t>Arithmetic Average Return</t>
  </si>
  <si>
    <t>Geometric Average Return</t>
  </si>
  <si>
    <t>Variance of Returns</t>
  </si>
  <si>
    <t>Coefficient of Variation (CV)</t>
  </si>
  <si>
    <t>Covariance Between Assets</t>
  </si>
  <si>
    <t>Correlation Coefficient</t>
  </si>
  <si>
    <t>Beta (Systematic Risk)</t>
  </si>
  <si>
    <t>Sharpe Ratio (Risk-Adjusted Return)</t>
  </si>
  <si>
    <t>Treynor Ratio</t>
  </si>
  <si>
    <t>Jensen’s Alpha</t>
  </si>
  <si>
    <t>Date : 21-01-26</t>
  </si>
  <si>
    <t>Present Value</t>
  </si>
  <si>
    <t>Date : 22-01-26</t>
  </si>
  <si>
    <t>Date: 22-01-2026</t>
  </si>
  <si>
    <t>Date: 20-01-2026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</si>
</sst>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₹]#,##0.00"/>
    <numFmt numFmtId="165" formatCode="[$₹-820]#,##0.00"/>
    <numFmt numFmtId="166" formatCode="[$₹-439]#,##0.00"/>
    <numFmt numFmtId="167" formatCode="[$₹-4009]\ #,##0.00"/>
    <numFmt numFmtId="168" formatCode="0.0"/>
    <numFmt numFmtId="170" formatCode="0.00000"/>
    <numFmt numFmtId="173" formatCode="0.000%"/>
  </numFmts>
  <fonts count="18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2"/>
      <name val="Times New Roman"/>
      <family val="1"/>
    </font>
    <font>
      <b/>
      <sz val="9"/>
      <color rgb="FF000000"/>
      <name val="Times New Roman"/>
      <family val="1"/>
    </font>
    <font>
      <b/>
      <vertAlign val="superscript"/>
      <sz val="9"/>
      <color rgb="FF000000"/>
      <name val="Times New Roman"/>
      <family val="1"/>
    </font>
    <font>
      <b/>
      <sz val="10"/>
      <color theme="0"/>
      <name val="Arial"/>
      <family val="2"/>
      <scheme val="minor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Arial"/>
      <family val="2"/>
      <scheme val="minor"/>
    </font>
    <font>
      <b/>
      <sz val="14"/>
      <color rgb="FF000000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rgb="FFFFD966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D966"/>
      </patternFill>
    </fill>
    <fill>
      <patternFill patternType="solid">
        <fgColor theme="7" tint="0.79998168889431442"/>
        <bgColor rgb="FFFFD966"/>
      </patternFill>
    </fill>
    <fill>
      <patternFill patternType="solid">
        <fgColor theme="7" tint="0.39997558519241921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AD4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/>
      <diagonal/>
    </border>
    <border>
      <left/>
      <right style="thin">
        <color theme="8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/>
      <diagonal/>
    </border>
    <border>
      <left/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/>
      <top/>
      <bottom/>
      <diagonal/>
    </border>
    <border>
      <left/>
      <right style="thin">
        <color theme="1" tint="0.14999847407452621"/>
      </right>
      <top/>
      <bottom/>
      <diagonal/>
    </border>
    <border>
      <left style="thin">
        <color theme="1" tint="0.14999847407452621"/>
      </left>
      <right/>
      <top/>
      <bottom style="thin">
        <color theme="1" tint="0.14999847407452621"/>
      </bottom>
      <diagonal/>
    </border>
    <border>
      <left/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3" tint="0.14999847407452621"/>
      </left>
      <right style="thin">
        <color theme="3" tint="0.14999847407452621"/>
      </right>
      <top style="thin">
        <color theme="3" tint="0.14999847407452621"/>
      </top>
      <bottom style="thin">
        <color theme="3" tint="0.14999847407452621"/>
      </bottom>
      <diagonal/>
    </border>
    <border>
      <left style="thin">
        <color theme="3" tint="0.14999847407452621"/>
      </left>
      <right/>
      <top/>
      <bottom style="thin">
        <color theme="3" tint="0.14999847407452621"/>
      </bottom>
      <diagonal/>
    </border>
    <border>
      <left style="thin">
        <color theme="3" tint="0.14999847407452621"/>
      </left>
      <right/>
      <top style="thin">
        <color theme="3" tint="0.14999847407452621"/>
      </top>
      <bottom style="thin">
        <color theme="3" tint="0.14999847407452621"/>
      </bottom>
      <diagonal/>
    </border>
    <border>
      <left/>
      <right style="thin">
        <color theme="3" tint="0.14999847407452621"/>
      </right>
      <top style="thin">
        <color theme="3" tint="0.14999847407452621"/>
      </top>
      <bottom style="thin">
        <color theme="3" tint="0.14999847407452621"/>
      </bottom>
      <diagonal/>
    </border>
    <border>
      <left/>
      <right/>
      <top/>
      <bottom style="thin">
        <color theme="3" tint="0.149998474074526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/>
    </xf>
    <xf numFmtId="10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2" fillId="6" borderId="1" xfId="0" applyFont="1" applyFill="1" applyBorder="1"/>
    <xf numFmtId="167" fontId="2" fillId="6" borderId="1" xfId="0" applyNumberFormat="1" applyFont="1" applyFill="1" applyBorder="1"/>
    <xf numFmtId="10" fontId="2" fillId="6" borderId="1" xfId="0" applyNumberFormat="1" applyFont="1" applyFill="1" applyBorder="1"/>
    <xf numFmtId="2" fontId="2" fillId="6" borderId="1" xfId="0" applyNumberFormat="1" applyFont="1" applyFill="1" applyBorder="1"/>
    <xf numFmtId="0" fontId="2" fillId="7" borderId="0" xfId="0" applyFont="1" applyFill="1"/>
    <xf numFmtId="0" fontId="4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2" fillId="4" borderId="1" xfId="0" applyFont="1" applyFill="1" applyBorder="1"/>
    <xf numFmtId="167" fontId="2" fillId="4" borderId="1" xfId="0" applyNumberFormat="1" applyFont="1" applyFill="1" applyBorder="1"/>
    <xf numFmtId="10" fontId="2" fillId="4" borderId="1" xfId="0" applyNumberFormat="1" applyFont="1" applyFill="1" applyBorder="1"/>
    <xf numFmtId="2" fontId="2" fillId="4" borderId="1" xfId="0" applyNumberFormat="1" applyFont="1" applyFill="1" applyBorder="1"/>
    <xf numFmtId="0" fontId="4" fillId="4" borderId="1" xfId="0" applyFont="1" applyFill="1" applyBorder="1"/>
    <xf numFmtId="0" fontId="2" fillId="8" borderId="0" xfId="0" applyFont="1" applyFill="1"/>
    <xf numFmtId="0" fontId="5" fillId="10" borderId="1" xfId="0" applyFont="1" applyFill="1" applyBorder="1" applyAlignment="1">
      <alignment vertical="center"/>
    </xf>
    <xf numFmtId="164" fontId="1" fillId="10" borderId="1" xfId="0" applyNumberFormat="1" applyFont="1" applyFill="1" applyBorder="1" applyAlignment="1">
      <alignment horizontal="right" vertical="center"/>
    </xf>
    <xf numFmtId="10" fontId="1" fillId="10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164" fontId="1" fillId="6" borderId="0" xfId="0" applyNumberFormat="1" applyFont="1" applyFill="1" applyAlignment="1">
      <alignment vertical="center"/>
    </xf>
    <xf numFmtId="164" fontId="1" fillId="10" borderId="1" xfId="0" applyNumberFormat="1" applyFont="1" applyFill="1" applyBorder="1" applyAlignment="1">
      <alignment vertical="center"/>
    </xf>
    <xf numFmtId="167" fontId="2" fillId="13" borderId="2" xfId="0" applyNumberFormat="1" applyFont="1" applyFill="1" applyBorder="1"/>
    <xf numFmtId="0" fontId="7" fillId="0" borderId="2" xfId="0" applyFont="1" applyBorder="1" applyAlignment="1">
      <alignment horizontal="center" vertical="center"/>
    </xf>
    <xf numFmtId="167" fontId="4" fillId="0" borderId="0" xfId="0" applyNumberFormat="1" applyFont="1"/>
    <xf numFmtId="0" fontId="2" fillId="4" borderId="12" xfId="0" applyFont="1" applyFill="1" applyBorder="1"/>
    <xf numFmtId="0" fontId="2" fillId="4" borderId="13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2" fillId="0" borderId="12" xfId="0" applyFont="1" applyBorder="1"/>
    <xf numFmtId="0" fontId="2" fillId="0" borderId="13" xfId="0" applyFont="1" applyBorder="1"/>
    <xf numFmtId="167" fontId="4" fillId="4" borderId="12" xfId="0" applyNumberFormat="1" applyFont="1" applyFill="1" applyBorder="1"/>
    <xf numFmtId="10" fontId="4" fillId="0" borderId="16" xfId="0" applyNumberFormat="1" applyFont="1" applyBorder="1"/>
    <xf numFmtId="10" fontId="4" fillId="0" borderId="0" xfId="0" applyNumberFormat="1" applyFont="1"/>
    <xf numFmtId="10" fontId="4" fillId="0" borderId="17" xfId="0" applyNumberFormat="1" applyFont="1" applyBorder="1"/>
    <xf numFmtId="10" fontId="4" fillId="4" borderId="12" xfId="0" applyNumberFormat="1" applyFont="1" applyFill="1" applyBorder="1"/>
    <xf numFmtId="167" fontId="2" fillId="0" borderId="12" xfId="0" applyNumberFormat="1" applyFont="1" applyBorder="1"/>
    <xf numFmtId="167" fontId="2" fillId="0" borderId="15" xfId="0" applyNumberFormat="1" applyFont="1" applyBorder="1"/>
    <xf numFmtId="167" fontId="2" fillId="4" borderId="12" xfId="0" applyNumberFormat="1" applyFont="1" applyFill="1" applyBorder="1"/>
    <xf numFmtId="167" fontId="2" fillId="0" borderId="13" xfId="0" applyNumberFormat="1" applyFont="1" applyBorder="1"/>
    <xf numFmtId="0" fontId="5" fillId="14" borderId="23" xfId="0" applyFont="1" applyFill="1" applyBorder="1" applyAlignment="1">
      <alignment horizontal="center" vertical="center"/>
    </xf>
    <xf numFmtId="164" fontId="1" fillId="14" borderId="24" xfId="0" applyNumberFormat="1" applyFont="1" applyFill="1" applyBorder="1" applyAlignment="1">
      <alignment vertical="center"/>
    </xf>
    <xf numFmtId="0" fontId="1" fillId="15" borderId="18" xfId="0" applyFont="1" applyFill="1" applyBorder="1" applyAlignment="1">
      <alignment vertical="center"/>
    </xf>
    <xf numFmtId="0" fontId="1" fillId="14" borderId="18" xfId="0" applyFont="1" applyFill="1" applyBorder="1" applyAlignment="1">
      <alignment vertical="center"/>
    </xf>
    <xf numFmtId="10" fontId="1" fillId="15" borderId="20" xfId="0" applyNumberFormat="1" applyFont="1" applyFill="1" applyBorder="1" applyAlignment="1">
      <alignment vertical="center"/>
    </xf>
    <xf numFmtId="0" fontId="5" fillId="14" borderId="18" xfId="0" applyFont="1" applyFill="1" applyBorder="1" applyAlignment="1">
      <alignment horizontal="center" vertical="center"/>
    </xf>
    <xf numFmtId="0" fontId="5" fillId="11" borderId="26" xfId="0" applyFont="1" applyFill="1" applyBorder="1" applyAlignment="1">
      <alignment vertical="center"/>
    </xf>
    <xf numFmtId="164" fontId="1" fillId="14" borderId="26" xfId="0" applyNumberFormat="1" applyFont="1" applyFill="1" applyBorder="1" applyAlignment="1">
      <alignment horizontal="right" vertical="center"/>
    </xf>
    <xf numFmtId="0" fontId="5" fillId="16" borderId="18" xfId="0" applyFont="1" applyFill="1" applyBorder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vertical="center"/>
    </xf>
    <xf numFmtId="167" fontId="1" fillId="15" borderId="20" xfId="0" applyNumberFormat="1" applyFont="1" applyFill="1" applyBorder="1" applyAlignment="1">
      <alignment vertical="center"/>
    </xf>
    <xf numFmtId="167" fontId="1" fillId="14" borderId="24" xfId="0" applyNumberFormat="1" applyFont="1" applyFill="1" applyBorder="1" applyAlignment="1">
      <alignment vertical="center"/>
    </xf>
    <xf numFmtId="167" fontId="1" fillId="15" borderId="18" xfId="0" applyNumberFormat="1" applyFont="1" applyFill="1" applyBorder="1" applyAlignment="1">
      <alignment vertical="center"/>
    </xf>
    <xf numFmtId="165" fontId="1" fillId="14" borderId="25" xfId="0" applyNumberFormat="1" applyFont="1" applyFill="1" applyBorder="1" applyAlignment="1">
      <alignment vertical="center"/>
    </xf>
    <xf numFmtId="0" fontId="0" fillId="21" borderId="30" xfId="0" applyFill="1" applyBorder="1"/>
    <xf numFmtId="0" fontId="0" fillId="21" borderId="31" xfId="0" applyFill="1" applyBorder="1"/>
    <xf numFmtId="0" fontId="0" fillId="21" borderId="32" xfId="0" applyFill="1" applyBorder="1"/>
    <xf numFmtId="0" fontId="0" fillId="21" borderId="33" xfId="0" applyFill="1" applyBorder="1"/>
    <xf numFmtId="0" fontId="3" fillId="0" borderId="27" xfId="0" applyFont="1" applyBorder="1"/>
    <xf numFmtId="167" fontId="0" fillId="0" borderId="27" xfId="0" applyNumberFormat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4" fillId="4" borderId="12" xfId="0" applyFont="1" applyFill="1" applyBorder="1" applyAlignment="1">
      <alignment horizontal="center" vertical="center"/>
    </xf>
    <xf numFmtId="0" fontId="4" fillId="0" borderId="12" xfId="0" applyFont="1" applyBorder="1"/>
    <xf numFmtId="0" fontId="10" fillId="6" borderId="0" xfId="0" applyFont="1" applyFill="1" applyAlignment="1">
      <alignment horizontal="center"/>
    </xf>
    <xf numFmtId="0" fontId="2" fillId="22" borderId="34" xfId="0" applyFont="1" applyFill="1" applyBorder="1"/>
    <xf numFmtId="0" fontId="2" fillId="6" borderId="35" xfId="0" applyFont="1" applyFill="1" applyBorder="1"/>
    <xf numFmtId="167" fontId="2" fillId="6" borderId="35" xfId="0" applyNumberFormat="1" applyFont="1" applyFill="1" applyBorder="1" applyAlignment="1">
      <alignment horizontal="center" vertical="center"/>
    </xf>
    <xf numFmtId="1" fontId="2" fillId="6" borderId="35" xfId="0" applyNumberFormat="1" applyFont="1" applyFill="1" applyBorder="1" applyAlignment="1">
      <alignment horizontal="center" vertical="center"/>
    </xf>
    <xf numFmtId="10" fontId="2" fillId="6" borderId="35" xfId="0" applyNumberFormat="1" applyFont="1" applyFill="1" applyBorder="1" applyAlignment="1">
      <alignment horizontal="center" vertical="center"/>
    </xf>
    <xf numFmtId="0" fontId="2" fillId="6" borderId="34" xfId="0" applyFont="1" applyFill="1" applyBorder="1"/>
    <xf numFmtId="167" fontId="2" fillId="6" borderId="34" xfId="0" applyNumberFormat="1" applyFont="1" applyFill="1" applyBorder="1" applyAlignment="1">
      <alignment horizontal="center" vertical="center"/>
    </xf>
    <xf numFmtId="10" fontId="2" fillId="6" borderId="34" xfId="0" applyNumberFormat="1" applyFont="1" applyFill="1" applyBorder="1" applyAlignment="1">
      <alignment horizontal="center" vertical="center"/>
    </xf>
    <xf numFmtId="0" fontId="4" fillId="6" borderId="34" xfId="0" applyFont="1" applyFill="1" applyBorder="1"/>
    <xf numFmtId="0" fontId="2" fillId="24" borderId="35" xfId="0" applyFont="1" applyFill="1" applyBorder="1"/>
    <xf numFmtId="1" fontId="2" fillId="24" borderId="34" xfId="0" applyNumberFormat="1" applyFont="1" applyFill="1" applyBorder="1" applyAlignment="1">
      <alignment horizontal="center" vertical="center"/>
    </xf>
    <xf numFmtId="10" fontId="2" fillId="24" borderId="34" xfId="0" applyNumberFormat="1" applyFont="1" applyFill="1" applyBorder="1" applyAlignment="1">
      <alignment horizontal="center" vertical="center"/>
    </xf>
    <xf numFmtId="0" fontId="4" fillId="24" borderId="34" xfId="0" applyFont="1" applyFill="1" applyBorder="1"/>
    <xf numFmtId="167" fontId="2" fillId="24" borderId="34" xfId="0" applyNumberFormat="1" applyFont="1" applyFill="1" applyBorder="1" applyAlignment="1">
      <alignment horizontal="center" vertical="center"/>
    </xf>
    <xf numFmtId="2" fontId="2" fillId="24" borderId="34" xfId="0" applyNumberFormat="1" applyFont="1" applyFill="1" applyBorder="1" applyAlignment="1">
      <alignment horizontal="center" vertical="center"/>
    </xf>
    <xf numFmtId="0" fontId="2" fillId="24" borderId="34" xfId="0" applyFont="1" applyFill="1" applyBorder="1"/>
    <xf numFmtId="0" fontId="2" fillId="22" borderId="39" xfId="0" applyFont="1" applyFill="1" applyBorder="1"/>
    <xf numFmtId="0" fontId="2" fillId="24" borderId="39" xfId="0" applyFont="1" applyFill="1" applyBorder="1"/>
    <xf numFmtId="2" fontId="2" fillId="24" borderId="39" xfId="0" applyNumberFormat="1" applyFont="1" applyFill="1" applyBorder="1" applyAlignment="1">
      <alignment horizontal="center" vertical="center"/>
    </xf>
    <xf numFmtId="10" fontId="2" fillId="24" borderId="39" xfId="0" applyNumberFormat="1" applyFont="1" applyFill="1" applyBorder="1" applyAlignment="1">
      <alignment horizontal="center" vertical="center"/>
    </xf>
    <xf numFmtId="0" fontId="4" fillId="24" borderId="39" xfId="0" applyFont="1" applyFill="1" applyBorder="1" applyAlignment="1">
      <alignment horizontal="center" vertical="center"/>
    </xf>
    <xf numFmtId="0" fontId="4" fillId="26" borderId="39" xfId="0" applyFont="1" applyFill="1" applyBorder="1" applyAlignment="1">
      <alignment horizontal="center" vertical="center"/>
    </xf>
    <xf numFmtId="167" fontId="2" fillId="26" borderId="39" xfId="0" applyNumberFormat="1" applyFont="1" applyFill="1" applyBorder="1" applyAlignment="1">
      <alignment horizontal="center" vertical="center"/>
    </xf>
    <xf numFmtId="0" fontId="13" fillId="0" borderId="0" xfId="0" applyFont="1"/>
    <xf numFmtId="0" fontId="4" fillId="0" borderId="1" xfId="0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7" fontId="2" fillId="24" borderId="39" xfId="0" applyNumberFormat="1" applyFont="1" applyFill="1" applyBorder="1" applyAlignment="1">
      <alignment horizontal="center" vertical="center"/>
    </xf>
    <xf numFmtId="4" fontId="2" fillId="24" borderId="39" xfId="0" applyNumberFormat="1" applyFont="1" applyFill="1" applyBorder="1" applyAlignment="1">
      <alignment horizontal="center" vertical="center"/>
    </xf>
    <xf numFmtId="0" fontId="4" fillId="24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8" borderId="1" xfId="0" applyFont="1" applyFill="1" applyBorder="1"/>
    <xf numFmtId="0" fontId="2" fillId="0" borderId="0" xfId="0" applyFont="1" applyAlignment="1">
      <alignment horizontal="center"/>
    </xf>
    <xf numFmtId="167" fontId="2" fillId="29" borderId="1" xfId="0" applyNumberFormat="1" applyFont="1" applyFill="1" applyBorder="1"/>
    <xf numFmtId="2" fontId="2" fillId="0" borderId="39" xfId="0" applyNumberFormat="1" applyFont="1" applyBorder="1" applyAlignment="1">
      <alignment horizontal="center" vertical="center"/>
    </xf>
    <xf numFmtId="2" fontId="2" fillId="25" borderId="39" xfId="0" applyNumberFormat="1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7" fontId="4" fillId="2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/>
    </xf>
    <xf numFmtId="168" fontId="2" fillId="5" borderId="1" xfId="0" applyNumberFormat="1" applyFont="1" applyFill="1" applyBorder="1" applyAlignment="1">
      <alignment horizontal="center"/>
    </xf>
    <xf numFmtId="10" fontId="4" fillId="29" borderId="1" xfId="0" applyNumberFormat="1" applyFont="1" applyFill="1" applyBorder="1" applyAlignment="1">
      <alignment horizontal="center"/>
    </xf>
    <xf numFmtId="0" fontId="0" fillId="0" borderId="0" xfId="0" applyAlignment="1">
      <alignment horizontal="left" indent="2"/>
    </xf>
    <xf numFmtId="0" fontId="4" fillId="28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10" fontId="2" fillId="25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 indent="1"/>
    </xf>
    <xf numFmtId="10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indent="1"/>
    </xf>
    <xf numFmtId="10" fontId="4" fillId="29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2" fillId="6" borderId="1" xfId="0" applyNumberFormat="1" applyFont="1" applyFill="1" applyBorder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167" fontId="4" fillId="29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2" fontId="2" fillId="6" borderId="1" xfId="0" applyNumberFormat="1" applyFont="1" applyFill="1" applyBorder="1" applyAlignment="1">
      <alignment horizontal="center"/>
    </xf>
    <xf numFmtId="0" fontId="16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indent="2"/>
    </xf>
    <xf numFmtId="167" fontId="2" fillId="0" borderId="0" xfId="0" applyNumberFormat="1" applyFont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14" fillId="0" borderId="0" xfId="0" applyFont="1"/>
    <xf numFmtId="167" fontId="4" fillId="6" borderId="1" xfId="0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9" fontId="4" fillId="25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/>
    <xf numFmtId="167" fontId="2" fillId="28" borderId="1" xfId="0" applyNumberFormat="1" applyFont="1" applyFill="1" applyBorder="1"/>
    <xf numFmtId="2" fontId="2" fillId="29" borderId="1" xfId="0" applyNumberFormat="1" applyFont="1" applyFill="1" applyBorder="1"/>
    <xf numFmtId="167" fontId="4" fillId="24" borderId="1" xfId="0" applyNumberFormat="1" applyFont="1" applyFill="1" applyBorder="1" applyAlignment="1">
      <alignment horizontal="center"/>
    </xf>
    <xf numFmtId="10" fontId="4" fillId="24" borderId="1" xfId="0" applyNumberFormat="1" applyFont="1" applyFill="1" applyBorder="1" applyAlignment="1">
      <alignment horizontal="center" vertical="center"/>
    </xf>
    <xf numFmtId="10" fontId="2" fillId="24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6" fillId="12" borderId="3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0" fontId="4" fillId="13" borderId="10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/>
    </xf>
    <xf numFmtId="167" fontId="2" fillId="13" borderId="9" xfId="0" applyNumberFormat="1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13" borderId="9" xfId="0" applyFont="1" applyFill="1" applyBorder="1" applyAlignment="1">
      <alignment horizontal="left" vertical="center"/>
    </xf>
    <xf numFmtId="0" fontId="2" fillId="13" borderId="10" xfId="0" applyFont="1" applyFill="1" applyBorder="1" applyAlignment="1">
      <alignment horizontal="left" vertical="center"/>
    </xf>
    <xf numFmtId="10" fontId="2" fillId="13" borderId="10" xfId="0" applyNumberFormat="1" applyFont="1" applyFill="1" applyBorder="1" applyAlignment="1">
      <alignment horizontal="center"/>
    </xf>
    <xf numFmtId="10" fontId="2" fillId="13" borderId="11" xfId="0" applyNumberFormat="1" applyFont="1" applyFill="1" applyBorder="1" applyAlignment="1">
      <alignment horizontal="center"/>
    </xf>
    <xf numFmtId="167" fontId="2" fillId="13" borderId="10" xfId="0" applyNumberFormat="1" applyFont="1" applyFill="1" applyBorder="1" applyAlignment="1">
      <alignment horizontal="center"/>
    </xf>
    <xf numFmtId="167" fontId="2" fillId="13" borderId="11" xfId="0" applyNumberFormat="1" applyFont="1" applyFill="1" applyBorder="1" applyAlignment="1">
      <alignment horizontal="center"/>
    </xf>
    <xf numFmtId="0" fontId="2" fillId="13" borderId="11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5" fillId="18" borderId="2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vertical="center"/>
    </xf>
    <xf numFmtId="0" fontId="9" fillId="20" borderId="28" xfId="0" applyFont="1" applyFill="1" applyBorder="1" applyAlignment="1">
      <alignment horizontal="center"/>
    </xf>
    <xf numFmtId="0" fontId="9" fillId="20" borderId="29" xfId="0" applyFont="1" applyFill="1" applyBorder="1" applyAlignment="1">
      <alignment horizontal="center"/>
    </xf>
    <xf numFmtId="0" fontId="10" fillId="7" borderId="28" xfId="0" applyFont="1" applyFill="1" applyBorder="1" applyAlignment="1">
      <alignment horizontal="center"/>
    </xf>
    <xf numFmtId="0" fontId="10" fillId="7" borderId="29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1" fillId="8" borderId="36" xfId="0" applyFont="1" applyFill="1" applyBorder="1" applyAlignment="1">
      <alignment horizontal="center"/>
    </xf>
    <xf numFmtId="0" fontId="11" fillId="8" borderId="37" xfId="0" applyFont="1" applyFill="1" applyBorder="1" applyAlignment="1">
      <alignment horizontal="center"/>
    </xf>
    <xf numFmtId="0" fontId="11" fillId="8" borderId="38" xfId="0" applyFont="1" applyFill="1" applyBorder="1" applyAlignment="1">
      <alignment horizontal="center"/>
    </xf>
    <xf numFmtId="167" fontId="2" fillId="4" borderId="14" xfId="0" applyNumberFormat="1" applyFont="1" applyFill="1" applyBorder="1" applyAlignment="1">
      <alignment horizontal="center"/>
    </xf>
    <xf numFmtId="167" fontId="2" fillId="4" borderId="15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0" fontId="2" fillId="4" borderId="14" xfId="0" applyNumberFormat="1" applyFont="1" applyFill="1" applyBorder="1" applyAlignment="1">
      <alignment horizontal="center"/>
    </xf>
    <xf numFmtId="10" fontId="2" fillId="4" borderId="15" xfId="0" applyNumberFormat="1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17" xfId="0" applyNumberFormat="1" applyFont="1" applyBorder="1" applyAlignment="1">
      <alignment horizontal="center"/>
    </xf>
    <xf numFmtId="167" fontId="4" fillId="4" borderId="12" xfId="0" applyNumberFormat="1" applyFont="1" applyFill="1" applyBorder="1" applyAlignment="1">
      <alignment horizontal="center"/>
    </xf>
    <xf numFmtId="0" fontId="2" fillId="22" borderId="13" xfId="0" applyFont="1" applyFill="1" applyBorder="1" applyAlignment="1">
      <alignment horizontal="center"/>
    </xf>
    <xf numFmtId="0" fontId="2" fillId="22" borderId="14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4" fillId="22" borderId="13" xfId="0" applyFont="1" applyFill="1" applyBorder="1" applyAlignment="1">
      <alignment horizontal="center"/>
    </xf>
    <xf numFmtId="0" fontId="4" fillId="22" borderId="14" xfId="0" applyFont="1" applyFill="1" applyBorder="1" applyAlignment="1">
      <alignment horizontal="center"/>
    </xf>
    <xf numFmtId="0" fontId="4" fillId="22" borderId="15" xfId="0" applyFont="1" applyFill="1" applyBorder="1" applyAlignment="1">
      <alignment horizontal="center"/>
    </xf>
    <xf numFmtId="0" fontId="5" fillId="23" borderId="28" xfId="0" applyFont="1" applyFill="1" applyBorder="1" applyAlignment="1">
      <alignment horizontal="center"/>
    </xf>
    <xf numFmtId="0" fontId="5" fillId="23" borderId="29" xfId="0" applyFont="1" applyFill="1" applyBorder="1" applyAlignment="1">
      <alignment horizontal="center"/>
    </xf>
    <xf numFmtId="0" fontId="5" fillId="23" borderId="28" xfId="0" applyFont="1" applyFill="1" applyBorder="1" applyAlignment="1">
      <alignment horizontal="center" wrapText="1"/>
    </xf>
    <xf numFmtId="0" fontId="4" fillId="26" borderId="39" xfId="0" applyFont="1" applyFill="1" applyBorder="1" applyAlignment="1">
      <alignment horizontal="center"/>
    </xf>
    <xf numFmtId="2" fontId="2" fillId="26" borderId="39" xfId="0" applyNumberFormat="1" applyFont="1" applyFill="1" applyBorder="1" applyAlignment="1">
      <alignment horizontal="center" vertical="center"/>
    </xf>
    <xf numFmtId="0" fontId="5" fillId="27" borderId="39" xfId="0" applyFont="1" applyFill="1" applyBorder="1" applyAlignment="1">
      <alignment horizontal="center" vertical="center" wrapText="1"/>
    </xf>
    <xf numFmtId="0" fontId="5" fillId="27" borderId="39" xfId="0" applyFont="1" applyFill="1" applyBorder="1" applyAlignment="1">
      <alignment horizontal="center" vertical="center"/>
    </xf>
    <xf numFmtId="0" fontId="4" fillId="24" borderId="39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4" fillId="25" borderId="39" xfId="0" applyFont="1" applyFill="1" applyBorder="1" applyAlignment="1">
      <alignment horizontal="center"/>
    </xf>
    <xf numFmtId="0" fontId="12" fillId="27" borderId="39" xfId="0" applyFont="1" applyFill="1" applyBorder="1" applyAlignment="1">
      <alignment horizontal="center" vertical="center" wrapText="1"/>
    </xf>
    <xf numFmtId="0" fontId="12" fillId="27" borderId="39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2" borderId="41" xfId="0" applyFont="1" applyFill="1" applyBorder="1" applyAlignment="1">
      <alignment horizontal="center"/>
    </xf>
    <xf numFmtId="0" fontId="2" fillId="22" borderId="42" xfId="0" applyFont="1" applyFill="1" applyBorder="1" applyAlignment="1">
      <alignment horizontal="center"/>
    </xf>
    <xf numFmtId="0" fontId="2" fillId="24" borderId="41" xfId="0" applyFont="1" applyFill="1" applyBorder="1" applyAlignment="1">
      <alignment horizontal="left" vertical="center"/>
    </xf>
    <xf numFmtId="0" fontId="2" fillId="24" borderId="42" xfId="0" applyFont="1" applyFill="1" applyBorder="1" applyAlignment="1">
      <alignment horizontal="left" vertical="center"/>
    </xf>
    <xf numFmtId="0" fontId="12" fillId="27" borderId="40" xfId="0" applyFont="1" applyFill="1" applyBorder="1" applyAlignment="1">
      <alignment horizontal="center" vertical="center" wrapText="1"/>
    </xf>
    <xf numFmtId="0" fontId="12" fillId="27" borderId="43" xfId="0" applyFont="1" applyFill="1" applyBorder="1" applyAlignment="1">
      <alignment horizontal="center" vertical="center" wrapText="1"/>
    </xf>
    <xf numFmtId="0" fontId="4" fillId="24" borderId="41" xfId="0" applyFont="1" applyFill="1" applyBorder="1" applyAlignment="1">
      <alignment horizontal="left" vertical="center"/>
    </xf>
    <xf numFmtId="0" fontId="4" fillId="24" borderId="42" xfId="0" applyFont="1" applyFill="1" applyBorder="1" applyAlignment="1">
      <alignment horizontal="left" vertical="center"/>
    </xf>
    <xf numFmtId="0" fontId="2" fillId="22" borderId="41" xfId="0" applyFont="1" applyFill="1" applyBorder="1" applyAlignment="1">
      <alignment horizontal="left" vertical="center"/>
    </xf>
    <xf numFmtId="0" fontId="2" fillId="22" borderId="42" xfId="0" applyFont="1" applyFill="1" applyBorder="1" applyAlignment="1">
      <alignment horizontal="left" vertical="center"/>
    </xf>
    <xf numFmtId="0" fontId="12" fillId="27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/>
    </xf>
    <xf numFmtId="0" fontId="15" fillId="3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indent="2"/>
    </xf>
    <xf numFmtId="0" fontId="4" fillId="29" borderId="1" xfId="0" applyFont="1" applyFill="1" applyBorder="1" applyAlignment="1">
      <alignment horizontal="center"/>
    </xf>
    <xf numFmtId="0" fontId="4" fillId="29" borderId="1" xfId="0" applyFont="1" applyFill="1" applyBorder="1" applyAlignment="1">
      <alignment horizontal="left" indent="2"/>
    </xf>
    <xf numFmtId="0" fontId="4" fillId="6" borderId="1" xfId="0" applyFont="1" applyFill="1" applyBorder="1" applyAlignment="1">
      <alignment horizontal="left" indent="2"/>
    </xf>
    <xf numFmtId="0" fontId="4" fillId="30" borderId="1" xfId="0" applyFont="1" applyFill="1" applyBorder="1" applyAlignment="1">
      <alignment horizontal="center"/>
    </xf>
    <xf numFmtId="0" fontId="17" fillId="3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indent="2"/>
    </xf>
    <xf numFmtId="0" fontId="4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 indent="2"/>
    </xf>
    <xf numFmtId="0" fontId="4" fillId="24" borderId="1" xfId="0" applyFont="1" applyFill="1" applyBorder="1" applyAlignment="1">
      <alignment horizontal="left" indent="2"/>
    </xf>
    <xf numFmtId="0" fontId="4" fillId="24" borderId="1" xfId="0" applyFont="1" applyFill="1" applyBorder="1" applyAlignment="1">
      <alignment horizontal="left" vertical="center" indent="2"/>
    </xf>
    <xf numFmtId="0" fontId="2" fillId="6" borderId="45" xfId="0" applyFont="1" applyFill="1" applyBorder="1" applyAlignment="1">
      <alignment horizontal="left" indent="2"/>
    </xf>
    <xf numFmtId="0" fontId="2" fillId="6" borderId="46" xfId="0" applyFont="1" applyFill="1" applyBorder="1" applyAlignment="1">
      <alignment horizontal="left" indent="2"/>
    </xf>
    <xf numFmtId="0" fontId="2" fillId="24" borderId="1" xfId="0" applyFont="1" applyFill="1" applyBorder="1" applyAlignment="1">
      <alignment horizontal="left" indent="2"/>
    </xf>
    <xf numFmtId="0" fontId="4" fillId="6" borderId="1" xfId="0" applyFont="1" applyFill="1" applyBorder="1" applyAlignment="1">
      <alignment horizontal="left" vertical="center" indent="2"/>
    </xf>
    <xf numFmtId="0" fontId="2" fillId="4" borderId="1" xfId="0" applyFont="1" applyFill="1" applyBorder="1" applyAlignment="1">
      <alignment horizontal="left" indent="2"/>
    </xf>
    <xf numFmtId="0" fontId="2" fillId="4" borderId="45" xfId="0" applyFont="1" applyFill="1" applyBorder="1" applyAlignment="1">
      <alignment horizontal="left" indent="2"/>
    </xf>
    <xf numFmtId="0" fontId="2" fillId="4" borderId="46" xfId="0" applyFont="1" applyFill="1" applyBorder="1" applyAlignment="1">
      <alignment horizontal="left" indent="2"/>
    </xf>
    <xf numFmtId="10" fontId="4" fillId="6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4" fillId="29" borderId="1" xfId="0" applyFont="1" applyFill="1" applyBorder="1"/>
    <xf numFmtId="10" fontId="4" fillId="29" borderId="1" xfId="0" applyNumberFormat="1" applyFont="1" applyFill="1" applyBorder="1" applyAlignment="1">
      <alignment horizontal="center"/>
    </xf>
    <xf numFmtId="173" fontId="4" fillId="29" borderId="1" xfId="0" applyNumberFormat="1" applyFont="1" applyFill="1" applyBorder="1" applyAlignment="1">
      <alignment horizontal="center"/>
    </xf>
    <xf numFmtId="170" fontId="4" fillId="29" borderId="1" xfId="0" applyNumberFormat="1" applyFont="1" applyFill="1" applyBorder="1" applyAlignment="1">
      <alignment horizontal="center"/>
    </xf>
    <xf numFmtId="10" fontId="4" fillId="29" borderId="45" xfId="0" applyNumberFormat="1" applyFont="1" applyFill="1" applyBorder="1" applyAlignment="1">
      <alignment horizontal="center"/>
    </xf>
    <xf numFmtId="10" fontId="4" fillId="29" borderId="46" xfId="0" applyNumberFormat="1" applyFont="1" applyFill="1" applyBorder="1" applyAlignment="1">
      <alignment horizontal="center"/>
    </xf>
    <xf numFmtId="10" fontId="4" fillId="29" borderId="1" xfId="0" applyNumberFormat="1" applyFont="1" applyFill="1" applyBorder="1" applyAlignment="1"/>
    <xf numFmtId="10" fontId="4" fillId="0" borderId="0" xfId="0" applyNumberFormat="1" applyFont="1" applyFill="1" applyBorder="1" applyAlignment="1"/>
    <xf numFmtId="10" fontId="4" fillId="31" borderId="1" xfId="0" applyNumberFormat="1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indent="2"/>
    </xf>
    <xf numFmtId="2" fontId="4" fillId="31" borderId="1" xfId="0" applyNumberFormat="1" applyFont="1" applyFill="1" applyBorder="1" applyAlignment="1">
      <alignment horizontal="center"/>
    </xf>
    <xf numFmtId="10" fontId="4" fillId="31" borderId="1" xfId="0" applyNumberFormat="1" applyFont="1" applyFill="1" applyBorder="1" applyAlignment="1">
      <alignment horizontal="center"/>
    </xf>
    <xf numFmtId="2" fontId="4" fillId="29" borderId="1" xfId="0" applyNumberFormat="1" applyFont="1" applyFill="1" applyBorder="1" applyAlignment="1">
      <alignment horizontal="center" vertical="center"/>
    </xf>
    <xf numFmtId="4" fontId="4" fillId="2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D4CA"/>
      <color rgb="FFAFBFAF"/>
      <color rgb="FF849E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C7"/>
  <sheetViews>
    <sheetView workbookViewId="0">
      <selection activeCell="E5" sqref="E5"/>
    </sheetView>
  </sheetViews>
  <sheetFormatPr defaultColWidth="12.6328125" defaultRowHeight="15.75" customHeight="1" x14ac:dyDescent="0.25"/>
  <cols>
    <col min="1" max="1" width="12.6328125" style="2"/>
    <col min="2" max="2" width="18.81640625" style="2" bestFit="1" customWidth="1"/>
    <col min="3" max="16384" width="12.6328125" style="2"/>
  </cols>
  <sheetData>
    <row r="1" spans="2:3" ht="15.75" customHeight="1" x14ac:dyDescent="0.25">
      <c r="B1" s="166" t="s">
        <v>0</v>
      </c>
      <c r="C1" s="167"/>
    </row>
    <row r="2" spans="2:3" ht="15.75" customHeight="1" x14ac:dyDescent="0.25">
      <c r="B2" s="24" t="s">
        <v>1</v>
      </c>
      <c r="C2" s="14">
        <v>100000</v>
      </c>
    </row>
    <row r="3" spans="2:3" ht="15.75" customHeight="1" x14ac:dyDescent="0.25">
      <c r="B3" s="24" t="s">
        <v>2</v>
      </c>
      <c r="C3" s="15">
        <v>0.1</v>
      </c>
    </row>
    <row r="4" spans="2:3" ht="15.75" customHeight="1" x14ac:dyDescent="0.25">
      <c r="B4" s="24" t="s">
        <v>3</v>
      </c>
      <c r="C4" s="13">
        <v>3</v>
      </c>
    </row>
    <row r="5" spans="2:3" ht="15.75" customHeight="1" x14ac:dyDescent="0.25">
      <c r="B5" s="3"/>
      <c r="C5" s="4"/>
    </row>
    <row r="6" spans="2:3" ht="15.75" customHeight="1" x14ac:dyDescent="0.25">
      <c r="B6" s="24" t="s">
        <v>4</v>
      </c>
      <c r="C6" s="16">
        <f>C2*C3*C4</f>
        <v>30000</v>
      </c>
    </row>
    <row r="7" spans="2:3" ht="15.75" customHeight="1" x14ac:dyDescent="0.25">
      <c r="B7" s="24" t="s">
        <v>5</v>
      </c>
      <c r="C7" s="16">
        <f>C2+C6</f>
        <v>130000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16"/>
  <sheetViews>
    <sheetView topLeftCell="A4" workbookViewId="0">
      <selection activeCell="J15" sqref="J15"/>
    </sheetView>
  </sheetViews>
  <sheetFormatPr defaultColWidth="12.6328125" defaultRowHeight="15.75" customHeight="1" x14ac:dyDescent="0.25"/>
  <cols>
    <col min="1" max="2" width="12.6328125" style="5"/>
    <col min="3" max="3" width="16" style="5" bestFit="1" customWidth="1"/>
    <col min="4" max="4" width="9.81640625" style="5" bestFit="1" customWidth="1"/>
    <col min="5" max="5" width="17.6328125" style="5" bestFit="1" customWidth="1"/>
    <col min="6" max="16384" width="12.6328125" style="5"/>
  </cols>
  <sheetData>
    <row r="1" spans="2:6" ht="15.75" customHeight="1" x14ac:dyDescent="0.25">
      <c r="B1" s="168" t="s">
        <v>6</v>
      </c>
      <c r="C1" s="169"/>
      <c r="D1" s="169"/>
      <c r="E1" s="169"/>
      <c r="F1" s="169"/>
    </row>
    <row r="2" spans="2:6" ht="15.75" customHeight="1" x14ac:dyDescent="0.25">
      <c r="C2" s="170" t="s">
        <v>7</v>
      </c>
      <c r="D2" s="171"/>
      <c r="E2" s="6">
        <v>100000</v>
      </c>
    </row>
    <row r="3" spans="2:6" ht="15.75" customHeight="1" x14ac:dyDescent="0.25">
      <c r="C3" s="170" t="s">
        <v>8</v>
      </c>
      <c r="D3" s="171"/>
      <c r="E3" s="7">
        <v>0.1</v>
      </c>
    </row>
    <row r="4" spans="2:6" ht="15.75" customHeight="1" x14ac:dyDescent="0.25">
      <c r="C4" s="170" t="s">
        <v>3</v>
      </c>
      <c r="D4" s="171"/>
      <c r="E4" s="8">
        <v>10</v>
      </c>
    </row>
    <row r="6" spans="2:6" ht="15.75" customHeight="1" x14ac:dyDescent="0.25">
      <c r="B6" s="23" t="s">
        <v>9</v>
      </c>
      <c r="C6" s="23" t="s">
        <v>10</v>
      </c>
      <c r="D6" s="23" t="s">
        <v>11</v>
      </c>
      <c r="E6" s="23" t="s">
        <v>12</v>
      </c>
      <c r="F6" s="23" t="s">
        <v>13</v>
      </c>
    </row>
    <row r="7" spans="2:6" ht="15.75" customHeight="1" x14ac:dyDescent="0.25">
      <c r="B7" s="9">
        <v>1</v>
      </c>
      <c r="C7" s="10">
        <f>E2</f>
        <v>100000</v>
      </c>
      <c r="D7" s="11">
        <f>C7*$E$3</f>
        <v>10000</v>
      </c>
      <c r="E7" s="10">
        <f>C7 + D7</f>
        <v>110000</v>
      </c>
      <c r="F7" s="9" t="s">
        <v>14</v>
      </c>
    </row>
    <row r="8" spans="2:6" ht="15.75" customHeight="1" x14ac:dyDescent="0.25">
      <c r="B8" s="9">
        <v>2</v>
      </c>
      <c r="C8" s="12">
        <f>E7</f>
        <v>110000</v>
      </c>
      <c r="D8" s="12">
        <f>C8*$E$3</f>
        <v>11000</v>
      </c>
      <c r="E8" s="12">
        <f>C8 + D8</f>
        <v>121000</v>
      </c>
      <c r="F8" s="9" t="s">
        <v>15</v>
      </c>
    </row>
    <row r="9" spans="2:6" ht="15.75" customHeight="1" x14ac:dyDescent="0.25">
      <c r="B9" s="9">
        <v>3</v>
      </c>
      <c r="C9" s="12">
        <f t="shared" ref="C9:C16" si="0">E8</f>
        <v>121000</v>
      </c>
      <c r="D9" s="12">
        <f t="shared" ref="D9:D16" si="1">C9*$E$3</f>
        <v>12100</v>
      </c>
      <c r="E9" s="12">
        <f t="shared" ref="E9:E16" si="2">C9 + D9</f>
        <v>133100</v>
      </c>
      <c r="F9" s="9" t="s">
        <v>16</v>
      </c>
    </row>
    <row r="10" spans="2:6" ht="15.75" customHeight="1" x14ac:dyDescent="0.25">
      <c r="B10" s="9">
        <v>4</v>
      </c>
      <c r="C10" s="12">
        <f t="shared" si="0"/>
        <v>133100</v>
      </c>
      <c r="D10" s="12">
        <f t="shared" si="1"/>
        <v>13310</v>
      </c>
      <c r="E10" s="12">
        <f t="shared" si="2"/>
        <v>146410</v>
      </c>
      <c r="F10" s="9" t="s">
        <v>17</v>
      </c>
    </row>
    <row r="11" spans="2:6" ht="15.75" customHeight="1" x14ac:dyDescent="0.25">
      <c r="B11" s="9">
        <v>5</v>
      </c>
      <c r="C11" s="12">
        <f t="shared" si="0"/>
        <v>146410</v>
      </c>
      <c r="D11" s="12">
        <f t="shared" si="1"/>
        <v>14641</v>
      </c>
      <c r="E11" s="12">
        <f t="shared" si="2"/>
        <v>161051</v>
      </c>
      <c r="F11" s="9" t="s">
        <v>18</v>
      </c>
    </row>
    <row r="12" spans="2:6" ht="15.75" customHeight="1" x14ac:dyDescent="0.25">
      <c r="B12" s="9">
        <v>6</v>
      </c>
      <c r="C12" s="12">
        <f t="shared" si="0"/>
        <v>161051</v>
      </c>
      <c r="D12" s="12">
        <f t="shared" si="1"/>
        <v>16105.1</v>
      </c>
      <c r="E12" s="12">
        <f t="shared" si="2"/>
        <v>177156.1</v>
      </c>
      <c r="F12" s="9" t="s">
        <v>19</v>
      </c>
    </row>
    <row r="13" spans="2:6" ht="15.75" customHeight="1" x14ac:dyDescent="0.25">
      <c r="B13" s="9">
        <v>7</v>
      </c>
      <c r="C13" s="12">
        <f t="shared" si="0"/>
        <v>177156.1</v>
      </c>
      <c r="D13" s="12">
        <f t="shared" si="1"/>
        <v>17715.61</v>
      </c>
      <c r="E13" s="12">
        <f t="shared" si="2"/>
        <v>194871.71000000002</v>
      </c>
      <c r="F13" s="9" t="s">
        <v>20</v>
      </c>
    </row>
    <row r="14" spans="2:6" ht="15.75" customHeight="1" x14ac:dyDescent="0.25">
      <c r="B14" s="9">
        <v>8</v>
      </c>
      <c r="C14" s="12">
        <f t="shared" si="0"/>
        <v>194871.71000000002</v>
      </c>
      <c r="D14" s="12">
        <f t="shared" si="1"/>
        <v>19487.171000000002</v>
      </c>
      <c r="E14" s="12">
        <f t="shared" si="2"/>
        <v>214358.88100000002</v>
      </c>
      <c r="F14" s="9" t="s">
        <v>21</v>
      </c>
    </row>
    <row r="15" spans="2:6" ht="15.75" customHeight="1" x14ac:dyDescent="0.25">
      <c r="B15" s="9">
        <v>9</v>
      </c>
      <c r="C15" s="12">
        <f t="shared" si="0"/>
        <v>214358.88100000002</v>
      </c>
      <c r="D15" s="12">
        <f t="shared" si="1"/>
        <v>21435.888100000004</v>
      </c>
      <c r="E15" s="12">
        <f t="shared" si="2"/>
        <v>235794.76910000003</v>
      </c>
      <c r="F15" s="9" t="s">
        <v>22</v>
      </c>
    </row>
    <row r="16" spans="2:6" ht="15.75" customHeight="1" x14ac:dyDescent="0.25">
      <c r="B16" s="9">
        <v>10</v>
      </c>
      <c r="C16" s="12">
        <f t="shared" si="0"/>
        <v>235794.76910000003</v>
      </c>
      <c r="D16" s="12">
        <f t="shared" si="1"/>
        <v>23579.476910000005</v>
      </c>
      <c r="E16" s="12">
        <f t="shared" si="2"/>
        <v>259374.24601000003</v>
      </c>
      <c r="F16" s="9" t="s">
        <v>23</v>
      </c>
    </row>
  </sheetData>
  <mergeCells count="4">
    <mergeCell ref="B1:F1"/>
    <mergeCell ref="C2:D2"/>
    <mergeCell ref="C3:D3"/>
    <mergeCell ref="C4:D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6837-EF06-4C57-BB44-C5974D8DDA6B}">
  <dimension ref="B1:F6"/>
  <sheetViews>
    <sheetView zoomScale="99" workbookViewId="0">
      <selection activeCell="C6" sqref="C6"/>
    </sheetView>
  </sheetViews>
  <sheetFormatPr defaultRowHeight="14" x14ac:dyDescent="0.3"/>
  <cols>
    <col min="1" max="1" width="8.7265625" style="1"/>
    <col min="2" max="2" width="17.36328125" style="1" bestFit="1" customWidth="1"/>
    <col min="3" max="3" width="12.6328125" style="1" bestFit="1" customWidth="1"/>
    <col min="4" max="4" width="1.90625" style="1" customWidth="1"/>
    <col min="5" max="5" width="17.36328125" style="1" bestFit="1" customWidth="1"/>
    <col min="6" max="6" width="12.6328125" style="1" bestFit="1" customWidth="1"/>
    <col min="7" max="16384" width="8.7265625" style="1"/>
  </cols>
  <sheetData>
    <row r="1" spans="2:6" x14ac:dyDescent="0.3">
      <c r="B1" s="172" t="s">
        <v>24</v>
      </c>
      <c r="C1" s="172"/>
      <c r="D1" s="21"/>
      <c r="E1" s="173" t="s">
        <v>25</v>
      </c>
      <c r="F1" s="173"/>
    </row>
    <row r="2" spans="2:6" x14ac:dyDescent="0.3">
      <c r="B2" s="174" t="s">
        <v>26</v>
      </c>
      <c r="C2" s="174"/>
      <c r="D2" s="21"/>
      <c r="E2" s="174" t="s">
        <v>27</v>
      </c>
      <c r="F2" s="174"/>
    </row>
    <row r="3" spans="2:6" x14ac:dyDescent="0.3">
      <c r="B3" s="17" t="s">
        <v>28</v>
      </c>
      <c r="C3" s="18">
        <v>10000</v>
      </c>
      <c r="D3" s="21"/>
      <c r="E3" s="17" t="s">
        <v>28</v>
      </c>
      <c r="F3" s="18">
        <v>60000</v>
      </c>
    </row>
    <row r="4" spans="2:6" x14ac:dyDescent="0.3">
      <c r="B4" s="17" t="s">
        <v>29</v>
      </c>
      <c r="C4" s="19">
        <v>0.08</v>
      </c>
      <c r="D4" s="21"/>
      <c r="E4" s="17" t="s">
        <v>29</v>
      </c>
      <c r="F4" s="19">
        <v>7.0000000000000007E-2</v>
      </c>
    </row>
    <row r="5" spans="2:6" x14ac:dyDescent="0.3">
      <c r="B5" s="17" t="s">
        <v>3</v>
      </c>
      <c r="C5" s="20">
        <v>5</v>
      </c>
      <c r="D5" s="21"/>
      <c r="E5" s="17" t="s">
        <v>3</v>
      </c>
      <c r="F5" s="20">
        <v>5</v>
      </c>
    </row>
    <row r="6" spans="2:6" x14ac:dyDescent="0.3">
      <c r="B6" s="22" t="s">
        <v>26</v>
      </c>
      <c r="C6" s="18">
        <f>C3*(1-(1+C4)^(-C5))/C4</f>
        <v>39927.10037078087</v>
      </c>
      <c r="D6" s="21"/>
      <c r="E6" s="22" t="s">
        <v>26</v>
      </c>
      <c r="F6" s="18">
        <f>F3*(1-(1+F4)^(-F5))/F4*(1+F4)</f>
        <v>263232.67538783554</v>
      </c>
    </row>
  </sheetData>
  <mergeCells count="4">
    <mergeCell ref="B1:C1"/>
    <mergeCell ref="E1:F1"/>
    <mergeCell ref="B2:C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CB86-B89D-498D-B254-5A597BD9BD01}">
  <dimension ref="B1:F6"/>
  <sheetViews>
    <sheetView workbookViewId="0">
      <selection activeCell="E12" sqref="E12"/>
    </sheetView>
  </sheetViews>
  <sheetFormatPr defaultRowHeight="12.5" x14ac:dyDescent="0.25"/>
  <cols>
    <col min="2" max="2" width="17.36328125" bestFit="1" customWidth="1"/>
    <col min="3" max="3" width="10.36328125" bestFit="1" customWidth="1"/>
    <col min="4" max="4" width="2.26953125" customWidth="1"/>
    <col min="5" max="5" width="17.36328125" bestFit="1" customWidth="1"/>
    <col min="6" max="6" width="11.36328125" bestFit="1" customWidth="1"/>
  </cols>
  <sheetData>
    <row r="1" spans="2:6" ht="14" x14ac:dyDescent="0.3">
      <c r="B1" s="172" t="s">
        <v>24</v>
      </c>
      <c r="C1" s="172"/>
      <c r="D1" s="30"/>
      <c r="E1" s="173" t="s">
        <v>25</v>
      </c>
      <c r="F1" s="173"/>
    </row>
    <row r="2" spans="2:6" ht="14" x14ac:dyDescent="0.3">
      <c r="B2" s="175" t="s">
        <v>30</v>
      </c>
      <c r="C2" s="175"/>
      <c r="D2" s="30"/>
      <c r="E2" s="175" t="s">
        <v>30</v>
      </c>
      <c r="F2" s="175"/>
    </row>
    <row r="3" spans="2:6" ht="14" x14ac:dyDescent="0.3">
      <c r="B3" s="25" t="s">
        <v>214</v>
      </c>
      <c r="C3" s="26">
        <v>12000</v>
      </c>
      <c r="D3" s="30"/>
      <c r="E3" s="25" t="s">
        <v>214</v>
      </c>
      <c r="F3" s="26">
        <v>12000</v>
      </c>
    </row>
    <row r="4" spans="2:6" ht="14" x14ac:dyDescent="0.3">
      <c r="B4" s="25" t="s">
        <v>29</v>
      </c>
      <c r="C4" s="27">
        <v>0.08</v>
      </c>
      <c r="D4" s="30"/>
      <c r="E4" s="25" t="s">
        <v>29</v>
      </c>
      <c r="F4" s="27">
        <v>0.08</v>
      </c>
    </row>
    <row r="5" spans="2:6" ht="14" x14ac:dyDescent="0.3">
      <c r="B5" s="25" t="s">
        <v>3</v>
      </c>
      <c r="C5" s="28">
        <v>4</v>
      </c>
      <c r="D5" s="30"/>
      <c r="E5" s="25" t="s">
        <v>3</v>
      </c>
      <c r="F5" s="28">
        <v>4</v>
      </c>
    </row>
    <row r="6" spans="2:6" ht="14" x14ac:dyDescent="0.3">
      <c r="B6" s="29" t="s">
        <v>30</v>
      </c>
      <c r="C6" s="26">
        <f>C3*((1+C4)^C5 - 1)/C4*(1+C4)</f>
        <v>58399.211520000048</v>
      </c>
      <c r="D6" s="30"/>
      <c r="E6" s="29" t="s">
        <v>30</v>
      </c>
      <c r="F6" s="26">
        <f>F3*((1+F4)^F5 - 1)/F4*(1+F4)</f>
        <v>58399.211520000048</v>
      </c>
    </row>
  </sheetData>
  <mergeCells count="4">
    <mergeCell ref="B1:C1"/>
    <mergeCell ref="E1:F1"/>
    <mergeCell ref="B2:C2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5C74-F81C-4E67-8090-F8222AE7AF47}">
  <dimension ref="B1:C7"/>
  <sheetViews>
    <sheetView workbookViewId="0">
      <selection activeCell="D13" sqref="D13"/>
    </sheetView>
  </sheetViews>
  <sheetFormatPr defaultRowHeight="12.5" x14ac:dyDescent="0.25"/>
  <cols>
    <col min="2" max="2" width="18.81640625" bestFit="1" customWidth="1"/>
    <col min="3" max="3" width="10.81640625" bestFit="1" customWidth="1"/>
  </cols>
  <sheetData>
    <row r="1" spans="2:3" ht="14" x14ac:dyDescent="0.25">
      <c r="B1" s="176" t="s">
        <v>31</v>
      </c>
      <c r="C1" s="177"/>
    </row>
    <row r="2" spans="2:3" ht="14" x14ac:dyDescent="0.25">
      <c r="B2" s="31" t="s">
        <v>32</v>
      </c>
      <c r="C2" s="32">
        <v>500000</v>
      </c>
    </row>
    <row r="3" spans="2:3" ht="14" x14ac:dyDescent="0.25">
      <c r="B3" s="31" t="s">
        <v>29</v>
      </c>
      <c r="C3" s="33">
        <v>0.1</v>
      </c>
    </row>
    <row r="4" spans="2:3" ht="14" x14ac:dyDescent="0.25">
      <c r="B4" s="31" t="s">
        <v>33</v>
      </c>
      <c r="C4" s="34">
        <v>10</v>
      </c>
    </row>
    <row r="5" spans="2:3" ht="14" x14ac:dyDescent="0.25">
      <c r="B5" s="35"/>
      <c r="C5" s="36"/>
    </row>
    <row r="6" spans="2:3" ht="14" x14ac:dyDescent="0.25">
      <c r="B6" s="31" t="s">
        <v>34</v>
      </c>
      <c r="C6" s="37">
        <f>C2*C3/(1-(1+C3)^(-C4))</f>
        <v>81372.697441255761</v>
      </c>
    </row>
    <row r="7" spans="2:3" ht="14" x14ac:dyDescent="0.25">
      <c r="B7" s="31" t="s">
        <v>35</v>
      </c>
      <c r="C7" s="37">
        <f>C6/12</f>
        <v>6781.0581201046471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02D9-23D5-452C-BC06-B051F0C000EB}">
  <dimension ref="B1:G10"/>
  <sheetViews>
    <sheetView workbookViewId="0">
      <selection activeCell="F19" sqref="F19"/>
    </sheetView>
  </sheetViews>
  <sheetFormatPr defaultRowHeight="14" x14ac:dyDescent="0.3"/>
  <cols>
    <col min="1" max="1" width="8.7265625" style="1"/>
    <col min="2" max="2" width="14.1796875" style="1" bestFit="1" customWidth="1"/>
    <col min="3" max="3" width="8.7265625" style="1"/>
    <col min="4" max="7" width="9.453125" style="1" bestFit="1" customWidth="1"/>
    <col min="8" max="16384" width="8.7265625" style="1"/>
  </cols>
  <sheetData>
    <row r="1" spans="2:7" x14ac:dyDescent="0.3">
      <c r="B1" s="178" t="s">
        <v>36</v>
      </c>
      <c r="C1" s="179"/>
      <c r="D1" s="179"/>
      <c r="E1" s="179"/>
      <c r="F1" s="179"/>
      <c r="G1" s="180"/>
    </row>
    <row r="2" spans="2:7" x14ac:dyDescent="0.3">
      <c r="B2" s="181" t="s">
        <v>37</v>
      </c>
      <c r="C2" s="182"/>
      <c r="D2" s="182"/>
      <c r="E2" s="182"/>
      <c r="F2" s="182"/>
      <c r="G2" s="183"/>
    </row>
    <row r="3" spans="2:7" x14ac:dyDescent="0.3">
      <c r="B3" s="193"/>
      <c r="C3" s="194"/>
      <c r="D3" s="194"/>
      <c r="E3" s="194"/>
      <c r="F3" s="194"/>
      <c r="G3" s="195"/>
    </row>
    <row r="4" spans="2:7" x14ac:dyDescent="0.3">
      <c r="B4" s="196" t="s">
        <v>38</v>
      </c>
      <c r="C4" s="197"/>
      <c r="D4" s="202"/>
      <c r="E4" s="200">
        <v>15000</v>
      </c>
      <c r="F4" s="200"/>
      <c r="G4" s="201"/>
    </row>
    <row r="5" spans="2:7" x14ac:dyDescent="0.3">
      <c r="B5" s="190"/>
      <c r="C5" s="192"/>
      <c r="D5" s="192"/>
      <c r="E5" s="192"/>
      <c r="F5" s="192"/>
      <c r="G5" s="191"/>
    </row>
    <row r="6" spans="2:7" x14ac:dyDescent="0.3">
      <c r="B6" s="196" t="s">
        <v>39</v>
      </c>
      <c r="C6" s="197"/>
      <c r="D6" s="202"/>
      <c r="E6" s="198">
        <v>0.08</v>
      </c>
      <c r="F6" s="198"/>
      <c r="G6" s="199"/>
    </row>
    <row r="7" spans="2:7" x14ac:dyDescent="0.3">
      <c r="B7" s="190"/>
      <c r="C7" s="191"/>
      <c r="D7" s="39" t="s">
        <v>41</v>
      </c>
      <c r="E7" s="39" t="s">
        <v>42</v>
      </c>
      <c r="F7" s="39" t="s">
        <v>43</v>
      </c>
      <c r="G7" s="39" t="s">
        <v>44</v>
      </c>
    </row>
    <row r="8" spans="2:7" x14ac:dyDescent="0.3">
      <c r="B8" s="196" t="s">
        <v>40</v>
      </c>
      <c r="C8" s="197"/>
      <c r="D8" s="38">
        <v>5000</v>
      </c>
      <c r="E8" s="38">
        <v>5000</v>
      </c>
      <c r="F8" s="38">
        <v>5000</v>
      </c>
      <c r="G8" s="38">
        <v>5000</v>
      </c>
    </row>
    <row r="9" spans="2:7" x14ac:dyDescent="0.3">
      <c r="B9" s="193"/>
      <c r="C9" s="194"/>
      <c r="D9" s="194"/>
      <c r="E9" s="194"/>
      <c r="F9" s="194"/>
      <c r="G9" s="195"/>
    </row>
    <row r="10" spans="2:7" x14ac:dyDescent="0.3">
      <c r="B10" s="184" t="s">
        <v>37</v>
      </c>
      <c r="C10" s="185"/>
      <c r="D10" s="186"/>
      <c r="E10" s="187">
        <f xml:space="preserve"> D8/(1+$E$6)^1 + E8/(1+$E$6)^2 + F8/(1+$E$6)^3 + G8/(1+$E$6)^4 - $E$4</f>
        <v>1560.6342002216625</v>
      </c>
      <c r="F10" s="188"/>
      <c r="G10" s="189"/>
    </row>
  </sheetData>
  <mergeCells count="13">
    <mergeCell ref="B1:G1"/>
    <mergeCell ref="B2:G2"/>
    <mergeCell ref="B10:D10"/>
    <mergeCell ref="E10:G10"/>
    <mergeCell ref="B7:C7"/>
    <mergeCell ref="B5:G5"/>
    <mergeCell ref="B3:G3"/>
    <mergeCell ref="B9:G9"/>
    <mergeCell ref="B8:C8"/>
    <mergeCell ref="E6:G6"/>
    <mergeCell ref="E4:G4"/>
    <mergeCell ref="B6:D6"/>
    <mergeCell ref="B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7C9F-77FA-43E3-8362-6E9091042D02}">
  <dimension ref="B1:E11"/>
  <sheetViews>
    <sheetView zoomScaleNormal="100" workbookViewId="0">
      <selection activeCell="G17" sqref="G17"/>
    </sheetView>
  </sheetViews>
  <sheetFormatPr defaultRowHeight="14" x14ac:dyDescent="0.3"/>
  <cols>
    <col min="1" max="1" width="8.7265625" style="1"/>
    <col min="2" max="2" width="21.90625" style="1" bestFit="1" customWidth="1"/>
    <col min="3" max="5" width="11.453125" style="1" bestFit="1" customWidth="1"/>
    <col min="6" max="16384" width="8.7265625" style="1"/>
  </cols>
  <sheetData>
    <row r="1" spans="2:5" x14ac:dyDescent="0.3">
      <c r="B1" s="203" t="s">
        <v>45</v>
      </c>
      <c r="C1" s="203"/>
      <c r="D1" s="203"/>
      <c r="E1" s="203"/>
    </row>
    <row r="2" spans="2:5" x14ac:dyDescent="0.3">
      <c r="B2" s="204" t="s">
        <v>37</v>
      </c>
      <c r="C2" s="205"/>
      <c r="D2" s="205"/>
      <c r="E2" s="206"/>
    </row>
    <row r="3" spans="2:5" x14ac:dyDescent="0.3">
      <c r="B3" s="42" t="s">
        <v>46</v>
      </c>
      <c r="C3" s="49">
        <v>100000</v>
      </c>
      <c r="D3" s="49">
        <v>120000</v>
      </c>
      <c r="E3" s="49">
        <v>135000</v>
      </c>
    </row>
    <row r="4" spans="2:5" ht="5" customHeight="1" x14ac:dyDescent="0.3">
      <c r="B4" s="47"/>
      <c r="C4" s="40"/>
      <c r="D4" s="40"/>
      <c r="E4" s="40"/>
    </row>
    <row r="5" spans="2:5" x14ac:dyDescent="0.3">
      <c r="B5" s="42" t="s">
        <v>39</v>
      </c>
      <c r="C5" s="53">
        <v>0.08</v>
      </c>
      <c r="D5" s="53">
        <v>0.08</v>
      </c>
      <c r="E5" s="53">
        <v>0.08</v>
      </c>
    </row>
    <row r="6" spans="2:5" ht="4" customHeight="1" x14ac:dyDescent="0.3">
      <c r="C6" s="50"/>
      <c r="D6" s="51"/>
      <c r="E6" s="52"/>
    </row>
    <row r="7" spans="2:5" x14ac:dyDescent="0.3">
      <c r="B7" s="42"/>
      <c r="C7" s="45" t="s">
        <v>52</v>
      </c>
      <c r="D7" s="43" t="s">
        <v>51</v>
      </c>
      <c r="E7" s="44" t="s">
        <v>51</v>
      </c>
    </row>
    <row r="8" spans="2:5" x14ac:dyDescent="0.3">
      <c r="B8" s="48" t="s">
        <v>47</v>
      </c>
      <c r="C8" s="54">
        <v>35000</v>
      </c>
      <c r="D8" s="54">
        <v>45000</v>
      </c>
      <c r="E8" s="55">
        <v>50000</v>
      </c>
    </row>
    <row r="9" spans="2:5" x14ac:dyDescent="0.3">
      <c r="B9" s="42" t="s">
        <v>48</v>
      </c>
      <c r="C9" s="56">
        <v>40000</v>
      </c>
      <c r="D9" s="56">
        <v>50000</v>
      </c>
      <c r="E9" s="56">
        <v>55000</v>
      </c>
    </row>
    <row r="10" spans="2:5" x14ac:dyDescent="0.3">
      <c r="B10" s="48" t="s">
        <v>49</v>
      </c>
      <c r="C10" s="57">
        <v>45000</v>
      </c>
      <c r="D10" s="55">
        <v>55000</v>
      </c>
      <c r="E10" s="54">
        <v>60000</v>
      </c>
    </row>
    <row r="11" spans="2:5" x14ac:dyDescent="0.3">
      <c r="B11" s="46" t="s">
        <v>50</v>
      </c>
      <c r="C11" s="49">
        <f xml:space="preserve"> C8/(1+$C$5)^1 + C9/(1+$C$5)^2 + C10/(1+$C$5)^3 - $C$3</f>
        <v>2423.4110653863609</v>
      </c>
      <c r="D11" s="49">
        <f xml:space="preserve"> D8/(1+$D$5)^1 + D9/(1+$D$5)^2 + D10/(1+$D$5)^3 - $D$3</f>
        <v>8194.3809378651495</v>
      </c>
      <c r="E11" s="49">
        <f xml:space="preserve"> E8/(1+$E$5)^1 + E9/(1+$E$5)^2 + E10/(1+$E$5)^3 - $E$3</f>
        <v>6079.865874104551</v>
      </c>
    </row>
  </sheetData>
  <mergeCells count="2">
    <mergeCell ref="B1:E1"/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29E5-0357-430E-8E68-BC1CC1A803AA}">
  <dimension ref="B1:C10"/>
  <sheetViews>
    <sheetView workbookViewId="0">
      <selection activeCell="G17" sqref="G17"/>
    </sheetView>
  </sheetViews>
  <sheetFormatPr defaultRowHeight="14" x14ac:dyDescent="0.3"/>
  <cols>
    <col min="1" max="1" width="8.7265625" style="1"/>
    <col min="2" max="2" width="28.1796875" style="1" bestFit="1" customWidth="1"/>
    <col min="3" max="3" width="11.36328125" style="1" bestFit="1" customWidth="1"/>
    <col min="4" max="16384" width="8.7265625" style="1"/>
  </cols>
  <sheetData>
    <row r="1" spans="2:3" x14ac:dyDescent="0.3">
      <c r="B1" s="207" t="s">
        <v>53</v>
      </c>
      <c r="C1" s="208"/>
    </row>
    <row r="2" spans="2:3" ht="4" customHeight="1" x14ac:dyDescent="0.3">
      <c r="B2" s="67"/>
      <c r="C2" s="68"/>
    </row>
    <row r="3" spans="2:3" x14ac:dyDescent="0.3">
      <c r="B3" s="66" t="s">
        <v>54</v>
      </c>
      <c r="C3" s="64" t="s">
        <v>55</v>
      </c>
    </row>
    <row r="4" spans="2:3" x14ac:dyDescent="0.3">
      <c r="B4" s="61" t="s">
        <v>56</v>
      </c>
      <c r="C4" s="65">
        <v>500000</v>
      </c>
    </row>
    <row r="5" spans="2:3" x14ac:dyDescent="0.3">
      <c r="B5" s="60" t="s">
        <v>57</v>
      </c>
      <c r="C5" s="62">
        <v>0.1</v>
      </c>
    </row>
    <row r="6" spans="2:3" x14ac:dyDescent="0.3">
      <c r="B6" s="63" t="s">
        <v>58</v>
      </c>
      <c r="C6" s="72">
        <f>C4*(1-C5)</f>
        <v>450000</v>
      </c>
    </row>
    <row r="7" spans="2:3" x14ac:dyDescent="0.3">
      <c r="B7" s="60" t="s">
        <v>59</v>
      </c>
      <c r="C7" s="69">
        <v>12000</v>
      </c>
    </row>
    <row r="8" spans="2:3" x14ac:dyDescent="0.3">
      <c r="B8" s="61" t="s">
        <v>60</v>
      </c>
      <c r="C8" s="70">
        <v>35000</v>
      </c>
    </row>
    <row r="9" spans="2:3" x14ac:dyDescent="0.3">
      <c r="B9" s="60" t="s">
        <v>61</v>
      </c>
      <c r="C9" s="71">
        <v>125000</v>
      </c>
    </row>
    <row r="10" spans="2:3" x14ac:dyDescent="0.3">
      <c r="B10" s="58" t="s">
        <v>53</v>
      </c>
      <c r="C10" s="59">
        <f>C6 + C7 - C8 - C9</f>
        <v>302000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6A79-FE34-4605-9A40-026AAEE84238}">
  <dimension ref="A1:B12"/>
  <sheetViews>
    <sheetView zoomScale="209" zoomScaleNormal="100" workbookViewId="0">
      <selection activeCell="B11" sqref="B11"/>
    </sheetView>
  </sheetViews>
  <sheetFormatPr defaultRowHeight="12.5" x14ac:dyDescent="0.25"/>
  <cols>
    <col min="1" max="1" width="14.81640625" bestFit="1" customWidth="1"/>
    <col min="2" max="2" width="20.36328125" customWidth="1"/>
  </cols>
  <sheetData>
    <row r="1" spans="1:2" ht="13" x14ac:dyDescent="0.3">
      <c r="A1" s="209" t="s">
        <v>62</v>
      </c>
      <c r="B1" s="210"/>
    </row>
    <row r="2" spans="1:2" ht="4" customHeight="1" x14ac:dyDescent="0.25">
      <c r="A2" s="73"/>
      <c r="B2" s="74"/>
    </row>
    <row r="3" spans="1:2" x14ac:dyDescent="0.25">
      <c r="A3" s="77" t="s">
        <v>63</v>
      </c>
      <c r="B3" s="78">
        <v>1000</v>
      </c>
    </row>
    <row r="4" spans="1:2" ht="5.5" customHeight="1" x14ac:dyDescent="0.25">
      <c r="A4" s="73"/>
      <c r="B4" s="74"/>
    </row>
    <row r="5" spans="1:2" x14ac:dyDescent="0.25">
      <c r="A5" s="77" t="s">
        <v>64</v>
      </c>
      <c r="B5" s="79">
        <v>0.08</v>
      </c>
    </row>
    <row r="6" spans="1:2" ht="5" customHeight="1" x14ac:dyDescent="0.25">
      <c r="A6" s="73"/>
      <c r="B6" s="74"/>
    </row>
    <row r="7" spans="1:2" x14ac:dyDescent="0.25">
      <c r="A7" s="77" t="s">
        <v>65</v>
      </c>
      <c r="B7" s="80">
        <v>3</v>
      </c>
    </row>
    <row r="8" spans="1:2" ht="5" customHeight="1" x14ac:dyDescent="0.25">
      <c r="A8" s="73"/>
      <c r="B8" s="74"/>
    </row>
    <row r="9" spans="1:2" x14ac:dyDescent="0.25">
      <c r="A9" s="77" t="s">
        <v>66</v>
      </c>
      <c r="B9" s="79">
        <v>0.06</v>
      </c>
    </row>
    <row r="10" spans="1:2" ht="5" customHeight="1" x14ac:dyDescent="0.25">
      <c r="A10" s="73"/>
      <c r="B10" s="74"/>
    </row>
    <row r="11" spans="1:2" x14ac:dyDescent="0.25">
      <c r="A11" s="77" t="s">
        <v>67</v>
      </c>
      <c r="B11" s="78">
        <f xml:space="preserve"> (B3*B5)/(1+$B$9)^1 + (B3*B5)/(1+$B$9)^2 + (B3 + B3*B5)/(1+$B$9)^3</f>
        <v>1053.4602389892325</v>
      </c>
    </row>
    <row r="12" spans="1:2" ht="4.5" customHeight="1" x14ac:dyDescent="0.25">
      <c r="A12" s="75"/>
      <c r="B12" s="76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3387-66FA-48A0-B5B4-5B6D3F80D69D}">
  <dimension ref="A1:B10"/>
  <sheetViews>
    <sheetView zoomScale="98" workbookViewId="0">
      <selection activeCell="C18" sqref="C18"/>
    </sheetView>
  </sheetViews>
  <sheetFormatPr defaultRowHeight="12.5" x14ac:dyDescent="0.25"/>
  <cols>
    <col min="1" max="1" width="14.81640625" bestFit="1" customWidth="1"/>
    <col min="2" max="2" width="10.453125" bestFit="1" customWidth="1"/>
  </cols>
  <sheetData>
    <row r="1" spans="1:2" ht="14" x14ac:dyDescent="0.3">
      <c r="A1" s="211" t="s">
        <v>62</v>
      </c>
      <c r="B1" s="212"/>
    </row>
    <row r="2" spans="1:2" ht="4" customHeight="1" x14ac:dyDescent="0.3">
      <c r="A2" s="85"/>
      <c r="B2" s="85"/>
    </row>
    <row r="3" spans="1:2" ht="4" customHeight="1" x14ac:dyDescent="0.3">
      <c r="A3" s="86"/>
      <c r="B3" s="86"/>
    </row>
    <row r="4" spans="1:2" ht="14" x14ac:dyDescent="0.3">
      <c r="A4" s="87" t="s">
        <v>63</v>
      </c>
      <c r="B4" s="88">
        <v>10000</v>
      </c>
    </row>
    <row r="5" spans="1:2" ht="14" x14ac:dyDescent="0.3">
      <c r="A5" s="86"/>
      <c r="B5" s="86"/>
    </row>
    <row r="6" spans="1:2" ht="14" x14ac:dyDescent="0.3">
      <c r="A6" s="87" t="s">
        <v>65</v>
      </c>
      <c r="B6" s="89">
        <v>3</v>
      </c>
    </row>
    <row r="7" spans="1:2" ht="14" x14ac:dyDescent="0.3">
      <c r="A7" s="86"/>
      <c r="B7" s="86"/>
    </row>
    <row r="8" spans="1:2" ht="14" x14ac:dyDescent="0.3">
      <c r="A8" s="87" t="s">
        <v>66</v>
      </c>
      <c r="B8" s="90">
        <v>0.05</v>
      </c>
    </row>
    <row r="9" spans="1:2" ht="14" x14ac:dyDescent="0.3">
      <c r="A9" s="86"/>
      <c r="B9" s="86"/>
    </row>
    <row r="10" spans="1:2" ht="14" x14ac:dyDescent="0.3">
      <c r="A10" s="91" t="s">
        <v>67</v>
      </c>
      <c r="B10" s="92">
        <f xml:space="preserve"> B4 / (1 + B8)^B6</f>
        <v>8638.3759853147603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3B4F-DE25-4A72-8D95-B635E83785FD}">
  <dimension ref="A1:E22"/>
  <sheetViews>
    <sheetView workbookViewId="0">
      <selection activeCell="I6" sqref="I6"/>
    </sheetView>
  </sheetViews>
  <sheetFormatPr defaultRowHeight="14" x14ac:dyDescent="0.3"/>
  <cols>
    <col min="1" max="1" width="8.7265625" style="1"/>
    <col min="2" max="2" width="10" style="1" bestFit="1" customWidth="1"/>
    <col min="3" max="3" width="11.81640625" style="1" bestFit="1" customWidth="1"/>
    <col min="4" max="5" width="9.453125" style="1" bestFit="1" customWidth="1"/>
    <col min="6" max="16384" width="8.7265625" style="1"/>
  </cols>
  <sheetData>
    <row r="1" spans="1:5" ht="15" x14ac:dyDescent="0.3">
      <c r="A1" s="214" t="s">
        <v>68</v>
      </c>
      <c r="B1" s="215"/>
      <c r="C1" s="215"/>
      <c r="D1" s="215"/>
      <c r="E1" s="216"/>
    </row>
    <row r="2" spans="1:5" x14ac:dyDescent="0.3">
      <c r="A2" s="219" t="s">
        <v>63</v>
      </c>
      <c r="B2" s="219"/>
      <c r="C2" s="219"/>
      <c r="D2" s="217">
        <v>1000</v>
      </c>
      <c r="E2" s="218"/>
    </row>
    <row r="3" spans="1:5" x14ac:dyDescent="0.3">
      <c r="A3" s="220" t="s">
        <v>65</v>
      </c>
      <c r="B3" s="220"/>
      <c r="C3" s="220"/>
      <c r="D3" s="221">
        <v>3</v>
      </c>
      <c r="E3" s="222"/>
    </row>
    <row r="4" spans="1:5" x14ac:dyDescent="0.3">
      <c r="A4" s="219" t="s">
        <v>69</v>
      </c>
      <c r="B4" s="219"/>
      <c r="C4" s="219"/>
      <c r="D4" s="223">
        <v>0.1</v>
      </c>
      <c r="E4" s="224"/>
    </row>
    <row r="5" spans="1:5" x14ac:dyDescent="0.3">
      <c r="A5" s="220" t="s">
        <v>70</v>
      </c>
      <c r="B5" s="220"/>
      <c r="C5" s="220"/>
      <c r="D5" s="225">
        <v>0.08</v>
      </c>
      <c r="E5" s="226"/>
    </row>
    <row r="6" spans="1:5" x14ac:dyDescent="0.3">
      <c r="A6" s="219" t="s">
        <v>71</v>
      </c>
      <c r="B6" s="219"/>
      <c r="C6" s="219"/>
      <c r="D6" s="223">
        <v>5.0000000000000001E-3</v>
      </c>
      <c r="E6" s="224"/>
    </row>
    <row r="7" spans="1:5" ht="5" customHeight="1" x14ac:dyDescent="0.3">
      <c r="A7" s="81"/>
      <c r="E7" s="82"/>
    </row>
    <row r="8" spans="1:5" x14ac:dyDescent="0.3">
      <c r="A8" s="83" t="s">
        <v>9</v>
      </c>
      <c r="B8" s="83" t="s">
        <v>40</v>
      </c>
      <c r="C8" s="83" t="s">
        <v>72</v>
      </c>
      <c r="D8" s="83" t="s">
        <v>73</v>
      </c>
      <c r="E8" s="83" t="s">
        <v>74</v>
      </c>
    </row>
    <row r="9" spans="1:5" x14ac:dyDescent="0.3">
      <c r="A9" s="84">
        <v>1</v>
      </c>
      <c r="B9" s="54">
        <f>$D$2*$D$4</f>
        <v>100</v>
      </c>
      <c r="C9" s="47">
        <f>1/(1+$D$5)^A9</f>
        <v>0.92592592592592582</v>
      </c>
      <c r="D9" s="54">
        <f>B9*C9</f>
        <v>92.592592592592581</v>
      </c>
      <c r="E9" s="54">
        <f>A9*D9</f>
        <v>92.592592592592581</v>
      </c>
    </row>
    <row r="10" spans="1:5" x14ac:dyDescent="0.3">
      <c r="A10" s="46">
        <v>2</v>
      </c>
      <c r="B10" s="56">
        <f>$D$2*$D$4</f>
        <v>100</v>
      </c>
      <c r="C10" s="41">
        <f t="shared" ref="C10:C11" si="0">1/(1+$D$5)^A10</f>
        <v>0.85733882030178321</v>
      </c>
      <c r="D10" s="56">
        <f t="shared" ref="D10:D11" si="1">B10*C10</f>
        <v>85.733882030178322</v>
      </c>
      <c r="E10" s="56">
        <f t="shared" ref="E10:E11" si="2">A10*D10</f>
        <v>171.46776406035664</v>
      </c>
    </row>
    <row r="11" spans="1:5" x14ac:dyDescent="0.3">
      <c r="A11" s="84">
        <v>3</v>
      </c>
      <c r="B11" s="54">
        <f>$D$2*$D$4 + $D$2</f>
        <v>1100</v>
      </c>
      <c r="C11" s="47">
        <f t="shared" si="0"/>
        <v>0.79383224102016958</v>
      </c>
      <c r="D11" s="54">
        <f t="shared" si="1"/>
        <v>873.21546512218652</v>
      </c>
      <c r="E11" s="54">
        <f t="shared" si="2"/>
        <v>2619.6463953665598</v>
      </c>
    </row>
    <row r="12" spans="1:5" x14ac:dyDescent="0.3">
      <c r="A12" s="213" t="s">
        <v>75</v>
      </c>
      <c r="B12" s="213"/>
      <c r="C12" s="213"/>
      <c r="D12" s="49">
        <f>SUM(D9:D11)</f>
        <v>1051.5419397449573</v>
      </c>
      <c r="E12" s="49">
        <f>SUM(E9:E11)</f>
        <v>2883.7067520195092</v>
      </c>
    </row>
    <row r="13" spans="1:5" ht="4.5" customHeight="1" x14ac:dyDescent="0.3">
      <c r="A13" s="228"/>
      <c r="B13" s="229"/>
      <c r="C13" s="229"/>
      <c r="D13" s="229"/>
      <c r="E13" s="230"/>
    </row>
    <row r="14" spans="1:5" x14ac:dyDescent="0.3">
      <c r="A14" s="213" t="s">
        <v>76</v>
      </c>
      <c r="B14" s="213"/>
      <c r="C14" s="213"/>
      <c r="D14" s="213">
        <f>E12/D12</f>
        <v>2.7423601884285547</v>
      </c>
      <c r="E14" s="213"/>
    </row>
    <row r="15" spans="1:5" ht="5" customHeight="1" x14ac:dyDescent="0.3">
      <c r="A15" s="231"/>
      <c r="B15" s="232"/>
      <c r="C15" s="232"/>
      <c r="D15" s="232"/>
      <c r="E15" s="233"/>
    </row>
    <row r="16" spans="1:5" x14ac:dyDescent="0.3">
      <c r="A16" s="213" t="s">
        <v>77</v>
      </c>
      <c r="B16" s="213"/>
      <c r="C16" s="213"/>
      <c r="D16" s="213">
        <f>D14/(1+$D$5)</f>
        <v>2.539222396693106</v>
      </c>
      <c r="E16" s="213"/>
    </row>
    <row r="17" spans="1:5" ht="5" customHeight="1" x14ac:dyDescent="0.3">
      <c r="A17" s="231"/>
      <c r="B17" s="232"/>
      <c r="C17" s="232"/>
      <c r="D17" s="232"/>
      <c r="E17" s="233"/>
    </row>
    <row r="18" spans="1:5" x14ac:dyDescent="0.3">
      <c r="A18" s="213" t="s">
        <v>78</v>
      </c>
      <c r="B18" s="213"/>
      <c r="C18" s="213"/>
      <c r="D18" s="213">
        <f>-D16*$D$6</f>
        <v>-1.2696111983465531E-2</v>
      </c>
      <c r="E18" s="213"/>
    </row>
    <row r="19" spans="1:5" ht="4.5" customHeight="1" x14ac:dyDescent="0.3">
      <c r="A19" s="231"/>
      <c r="B19" s="232"/>
      <c r="C19" s="232"/>
      <c r="D19" s="232"/>
      <c r="E19" s="233"/>
    </row>
    <row r="20" spans="1:5" x14ac:dyDescent="0.3">
      <c r="A20" s="213" t="s">
        <v>79</v>
      </c>
      <c r="B20" s="213"/>
      <c r="C20" s="213"/>
      <c r="D20" s="227">
        <f>D12*(1+D18)</f>
        <v>1038.1914455226447</v>
      </c>
      <c r="E20" s="213"/>
    </row>
    <row r="21" spans="1:5" ht="4.5" customHeight="1" x14ac:dyDescent="0.3">
      <c r="A21" s="231"/>
      <c r="B21" s="232"/>
      <c r="C21" s="232"/>
      <c r="D21" s="232"/>
      <c r="E21" s="233"/>
    </row>
    <row r="22" spans="1:5" x14ac:dyDescent="0.3">
      <c r="A22" s="213" t="s">
        <v>80</v>
      </c>
      <c r="B22" s="213"/>
      <c r="C22" s="213"/>
      <c r="D22" s="213">
        <f>($D$2*$D$4)/D12</f>
        <v>9.5098441840802059E-2</v>
      </c>
      <c r="E22" s="213"/>
    </row>
  </sheetData>
  <mergeCells count="27">
    <mergeCell ref="A13:E13"/>
    <mergeCell ref="A15:E15"/>
    <mergeCell ref="A17:E17"/>
    <mergeCell ref="A19:E19"/>
    <mergeCell ref="A21:E21"/>
    <mergeCell ref="A14:C14"/>
    <mergeCell ref="A16:C16"/>
    <mergeCell ref="A18:C18"/>
    <mergeCell ref="A20:C20"/>
    <mergeCell ref="A22:C22"/>
    <mergeCell ref="D14:E14"/>
    <mergeCell ref="D16:E16"/>
    <mergeCell ref="D18:E18"/>
    <mergeCell ref="D20:E20"/>
    <mergeCell ref="D22:E22"/>
    <mergeCell ref="A12:C12"/>
    <mergeCell ref="A1:E1"/>
    <mergeCell ref="D2:E2"/>
    <mergeCell ref="A2:C2"/>
    <mergeCell ref="A3:C3"/>
    <mergeCell ref="A4:C4"/>
    <mergeCell ref="A5:C5"/>
    <mergeCell ref="A6:C6"/>
    <mergeCell ref="D3:E3"/>
    <mergeCell ref="D4:E4"/>
    <mergeCell ref="D5:E5"/>
    <mergeCell ref="D6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32F9-3163-419D-9FB5-155F666ABD7A}">
  <dimension ref="A1:B7"/>
  <sheetViews>
    <sheetView workbookViewId="0">
      <selection activeCell="A10" sqref="A10"/>
    </sheetView>
  </sheetViews>
  <sheetFormatPr defaultRowHeight="12.5" x14ac:dyDescent="0.25"/>
  <cols>
    <col min="1" max="1" width="21.453125" bestFit="1" customWidth="1"/>
    <col min="2" max="2" width="10.36328125" bestFit="1" customWidth="1"/>
  </cols>
  <sheetData>
    <row r="1" spans="1:2" ht="14" x14ac:dyDescent="0.3">
      <c r="A1" s="211" t="s">
        <v>81</v>
      </c>
      <c r="B1" s="212"/>
    </row>
    <row r="2" spans="1:2" ht="14" x14ac:dyDescent="0.3">
      <c r="A2" s="86"/>
      <c r="B2" s="86"/>
    </row>
    <row r="3" spans="1:2" ht="14" x14ac:dyDescent="0.3">
      <c r="A3" s="87" t="s">
        <v>82</v>
      </c>
      <c r="B3" s="93">
        <v>0.05</v>
      </c>
    </row>
    <row r="4" spans="1:2" ht="14" x14ac:dyDescent="0.3">
      <c r="A4" s="86"/>
      <c r="B4" s="86"/>
    </row>
    <row r="5" spans="1:2" ht="14" x14ac:dyDescent="0.3">
      <c r="A5" s="87" t="s">
        <v>83</v>
      </c>
      <c r="B5" s="93">
        <v>0.06</v>
      </c>
    </row>
    <row r="6" spans="1:2" ht="14" x14ac:dyDescent="0.3">
      <c r="A6" s="86"/>
      <c r="B6" s="86"/>
    </row>
    <row r="7" spans="1:2" ht="14" x14ac:dyDescent="0.3">
      <c r="A7" s="94" t="s">
        <v>81</v>
      </c>
      <c r="B7" s="93">
        <f>(1+B5)^2/(1+B3)-1</f>
        <v>7.009523809523821E-2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8A7F-887A-480A-B932-E97455898E17}">
  <dimension ref="A1:B7"/>
  <sheetViews>
    <sheetView zoomScale="160" zoomScaleNormal="160" workbookViewId="0">
      <selection activeCell="K32" sqref="K32"/>
    </sheetView>
  </sheetViews>
  <sheetFormatPr defaultRowHeight="12.5" x14ac:dyDescent="0.25"/>
  <cols>
    <col min="1" max="1" width="21.453125" bestFit="1" customWidth="1"/>
    <col min="2" max="2" width="7" bestFit="1" customWidth="1"/>
  </cols>
  <sheetData>
    <row r="1" spans="1:2" ht="14" x14ac:dyDescent="0.3">
      <c r="A1" s="234" t="s">
        <v>84</v>
      </c>
      <c r="B1" s="235"/>
    </row>
    <row r="2" spans="1:2" ht="4" customHeight="1" x14ac:dyDescent="0.3">
      <c r="A2" s="86"/>
      <c r="B2" s="86"/>
    </row>
    <row r="3" spans="1:2" ht="14" x14ac:dyDescent="0.3">
      <c r="A3" s="95" t="s">
        <v>85</v>
      </c>
      <c r="B3" s="96">
        <v>6</v>
      </c>
    </row>
    <row r="4" spans="1:2" ht="4.5" customHeight="1" x14ac:dyDescent="0.3">
      <c r="A4" s="86"/>
      <c r="B4" s="86"/>
    </row>
    <row r="5" spans="1:2" ht="14" x14ac:dyDescent="0.3">
      <c r="A5" s="95" t="s">
        <v>88</v>
      </c>
      <c r="B5" s="97">
        <v>0.12</v>
      </c>
    </row>
    <row r="6" spans="1:2" ht="4.5" customHeight="1" x14ac:dyDescent="0.3">
      <c r="A6" s="86"/>
      <c r="B6" s="86"/>
    </row>
    <row r="7" spans="1:2" ht="14" x14ac:dyDescent="0.3">
      <c r="A7" s="98" t="s">
        <v>86</v>
      </c>
      <c r="B7" s="99">
        <f>B3/B5</f>
        <v>50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5650-CF19-42EF-B41D-D2BA763DDA4C}">
  <dimension ref="A1:B9"/>
  <sheetViews>
    <sheetView zoomScale="160" zoomScaleNormal="160" workbookViewId="0">
      <selection activeCell="K32" sqref="K32"/>
    </sheetView>
  </sheetViews>
  <sheetFormatPr defaultRowHeight="12.5" x14ac:dyDescent="0.25"/>
  <cols>
    <col min="1" max="1" width="21.453125" bestFit="1" customWidth="1"/>
  </cols>
  <sheetData>
    <row r="1" spans="1:2" ht="26" customHeight="1" x14ac:dyDescent="0.3">
      <c r="A1" s="236" t="s">
        <v>87</v>
      </c>
      <c r="B1" s="235"/>
    </row>
    <row r="2" spans="1:2" ht="4.5" customHeight="1" x14ac:dyDescent="0.3">
      <c r="A2" s="86"/>
      <c r="B2" s="86"/>
    </row>
    <row r="3" spans="1:2" ht="14" x14ac:dyDescent="0.3">
      <c r="A3" s="95" t="s">
        <v>85</v>
      </c>
      <c r="B3" s="100">
        <v>5</v>
      </c>
    </row>
    <row r="4" spans="1:2" ht="4.5" customHeight="1" x14ac:dyDescent="0.3">
      <c r="A4" s="86"/>
      <c r="B4" s="86"/>
    </row>
    <row r="5" spans="1:2" ht="14" x14ac:dyDescent="0.3">
      <c r="A5" s="95" t="s">
        <v>88</v>
      </c>
      <c r="B5" s="97">
        <v>0.1</v>
      </c>
    </row>
    <row r="6" spans="1:2" ht="4.5" customHeight="1" x14ac:dyDescent="0.3">
      <c r="A6" s="86"/>
      <c r="B6" s="86"/>
    </row>
    <row r="7" spans="1:2" ht="14" x14ac:dyDescent="0.3">
      <c r="A7" s="101" t="s">
        <v>89</v>
      </c>
      <c r="B7" s="97">
        <v>0.06</v>
      </c>
    </row>
    <row r="8" spans="1:2" ht="5" customHeight="1" x14ac:dyDescent="0.3">
      <c r="A8" s="86"/>
      <c r="B8" s="86"/>
    </row>
    <row r="9" spans="1:2" ht="14" x14ac:dyDescent="0.3">
      <c r="A9" s="98" t="s">
        <v>67</v>
      </c>
      <c r="B9" s="99">
        <f>B3/(B5-B7)</f>
        <v>124.99999999999997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ADA6-DF35-4FE3-9694-AB6817442350}">
  <dimension ref="A1:E17"/>
  <sheetViews>
    <sheetView zoomScale="99" zoomScaleNormal="160" workbookViewId="0">
      <selection activeCell="J7" sqref="J7"/>
    </sheetView>
  </sheetViews>
  <sheetFormatPr defaultRowHeight="14" x14ac:dyDescent="0.3"/>
  <cols>
    <col min="1" max="1" width="8.7265625" style="1"/>
    <col min="2" max="2" width="7.36328125" style="1" customWidth="1"/>
    <col min="3" max="3" width="25.36328125" style="1" bestFit="1" customWidth="1"/>
    <col min="4" max="4" width="25.1796875" style="1" customWidth="1"/>
    <col min="5" max="5" width="17" style="1" customWidth="1"/>
    <col min="6" max="16384" width="8.7265625" style="1"/>
  </cols>
  <sheetData>
    <row r="1" spans="1:5" x14ac:dyDescent="0.3">
      <c r="C1" s="239" t="s">
        <v>90</v>
      </c>
      <c r="D1" s="240"/>
    </row>
    <row r="2" spans="1:5" ht="5" customHeight="1" x14ac:dyDescent="0.3">
      <c r="C2" s="102"/>
      <c r="D2" s="102"/>
    </row>
    <row r="3" spans="1:5" x14ac:dyDescent="0.3">
      <c r="C3" s="103" t="s">
        <v>85</v>
      </c>
      <c r="D3" s="104">
        <v>4</v>
      </c>
    </row>
    <row r="4" spans="1:5" ht="4.5" customHeight="1" x14ac:dyDescent="0.3">
      <c r="C4" s="102"/>
      <c r="D4" s="102"/>
    </row>
    <row r="5" spans="1:5" x14ac:dyDescent="0.3">
      <c r="C5" s="103" t="s">
        <v>88</v>
      </c>
      <c r="D5" s="105">
        <v>0.1</v>
      </c>
    </row>
    <row r="6" spans="1:5" ht="4.5" customHeight="1" x14ac:dyDescent="0.3">
      <c r="C6" s="102"/>
      <c r="D6" s="102"/>
    </row>
    <row r="7" spans="1:5" x14ac:dyDescent="0.3">
      <c r="C7" s="103" t="s">
        <v>91</v>
      </c>
      <c r="D7" s="105">
        <v>0.12</v>
      </c>
    </row>
    <row r="8" spans="1:5" ht="5" customHeight="1" x14ac:dyDescent="0.3">
      <c r="C8" s="102"/>
      <c r="D8" s="102"/>
    </row>
    <row r="9" spans="1:5" x14ac:dyDescent="0.3">
      <c r="C9" s="103" t="s">
        <v>92</v>
      </c>
      <c r="D9" s="105">
        <v>0.06</v>
      </c>
    </row>
    <row r="11" spans="1:5" x14ac:dyDescent="0.3">
      <c r="A11" s="241" t="s">
        <v>93</v>
      </c>
      <c r="B11" s="241"/>
      <c r="C11" s="106" t="s">
        <v>85</v>
      </c>
      <c r="D11" s="106" t="s">
        <v>95</v>
      </c>
      <c r="E11" s="106" t="s">
        <v>96</v>
      </c>
    </row>
    <row r="12" spans="1:5" x14ac:dyDescent="0.3">
      <c r="A12" s="242">
        <v>1</v>
      </c>
      <c r="B12" s="242"/>
      <c r="C12" s="120">
        <f>$D$3*(1+$D$7)</f>
        <v>4.4800000000000004</v>
      </c>
      <c r="D12" s="120">
        <f>1/(1+$D$5)^A12</f>
        <v>0.90909090909090906</v>
      </c>
      <c r="E12" s="120">
        <f>C12*D12</f>
        <v>4.0727272727272732</v>
      </c>
    </row>
    <row r="13" spans="1:5" x14ac:dyDescent="0.3">
      <c r="A13" s="242">
        <v>2</v>
      </c>
      <c r="B13" s="242"/>
      <c r="C13" s="120">
        <f>C12*(1+$D$7)</f>
        <v>5.0176000000000007</v>
      </c>
      <c r="D13" s="120">
        <f t="shared" ref="D13:D14" si="0">1/(1+$D$5)^A13</f>
        <v>0.82644628099173545</v>
      </c>
      <c r="E13" s="120">
        <f t="shared" ref="E13:E14" si="1">C13*D13</f>
        <v>4.1467768595041328</v>
      </c>
    </row>
    <row r="14" spans="1:5" x14ac:dyDescent="0.3">
      <c r="A14" s="242">
        <v>3</v>
      </c>
      <c r="B14" s="242"/>
      <c r="C14" s="120">
        <f>C13*(1+$D$7)</f>
        <v>5.6197120000000016</v>
      </c>
      <c r="D14" s="120">
        <f t="shared" si="0"/>
        <v>0.75131480090157754</v>
      </c>
      <c r="E14" s="120">
        <f t="shared" si="1"/>
        <v>4.2221728024042076</v>
      </c>
    </row>
    <row r="15" spans="1:5" x14ac:dyDescent="0.3">
      <c r="A15" s="243" t="s">
        <v>94</v>
      </c>
      <c r="B15" s="243"/>
      <c r="C15" s="121">
        <f>(C14*(1+$D$9))/($D$5-$D$9)</f>
        <v>148.92236800000003</v>
      </c>
      <c r="D15" s="121">
        <f>1/(1+$D$5)^3</f>
        <v>0.75131480090157754</v>
      </c>
      <c r="E15" s="121">
        <f>C15*D15</f>
        <v>111.88757926371149</v>
      </c>
    </row>
    <row r="16" spans="1:5" ht="5" customHeight="1" x14ac:dyDescent="0.3"/>
    <row r="17" spans="1:5" x14ac:dyDescent="0.3">
      <c r="A17" s="237" t="s">
        <v>97</v>
      </c>
      <c r="B17" s="237"/>
      <c r="C17" s="237"/>
      <c r="D17" s="238">
        <f>SUM(E12:E15)</f>
        <v>124.3292561983471</v>
      </c>
      <c r="E17" s="238"/>
    </row>
  </sheetData>
  <mergeCells count="8">
    <mergeCell ref="A17:C17"/>
    <mergeCell ref="D17:E17"/>
    <mergeCell ref="C1:D1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D906-693F-4CF0-9FCE-46193C8E141E}">
  <dimension ref="D7:E17"/>
  <sheetViews>
    <sheetView zoomScale="160" zoomScaleNormal="160" workbookViewId="0">
      <selection activeCell="K32" sqref="K32"/>
    </sheetView>
  </sheetViews>
  <sheetFormatPr defaultRowHeight="13" x14ac:dyDescent="0.3"/>
  <cols>
    <col min="1" max="1" width="24" style="109" bestFit="1" customWidth="1"/>
    <col min="2" max="2" width="7" style="109" bestFit="1" customWidth="1"/>
    <col min="3" max="3" width="8.7265625" style="109"/>
    <col min="4" max="4" width="19" style="109" bestFit="1" customWidth="1"/>
    <col min="5" max="5" width="7" style="109" bestFit="1" customWidth="1"/>
    <col min="6" max="16384" width="8.7265625" style="109"/>
  </cols>
  <sheetData>
    <row r="7" spans="4:5" ht="15" x14ac:dyDescent="0.3">
      <c r="D7" s="244" t="s">
        <v>98</v>
      </c>
      <c r="E7" s="245"/>
    </row>
    <row r="8" spans="4:5" ht="14" x14ac:dyDescent="0.3">
      <c r="D8" s="102"/>
      <c r="E8" s="102"/>
    </row>
    <row r="9" spans="4:5" ht="14" x14ac:dyDescent="0.3">
      <c r="D9" s="103" t="s">
        <v>99</v>
      </c>
      <c r="E9" s="104">
        <v>2</v>
      </c>
    </row>
    <row r="10" spans="4:5" ht="14" x14ac:dyDescent="0.3">
      <c r="D10" s="102"/>
      <c r="E10" s="102"/>
    </row>
    <row r="11" spans="4:5" ht="14" x14ac:dyDescent="0.3">
      <c r="D11" s="103" t="s">
        <v>100</v>
      </c>
      <c r="E11" s="104">
        <v>1</v>
      </c>
    </row>
    <row r="12" spans="4:5" ht="14" x14ac:dyDescent="0.3">
      <c r="D12" s="102"/>
      <c r="E12" s="102"/>
    </row>
    <row r="13" spans="4:5" ht="14" x14ac:dyDescent="0.3">
      <c r="D13" s="103" t="s">
        <v>101</v>
      </c>
      <c r="E13" s="105">
        <v>0.04</v>
      </c>
    </row>
    <row r="14" spans="4:5" ht="14" x14ac:dyDescent="0.3">
      <c r="D14" s="102"/>
      <c r="E14" s="102"/>
    </row>
    <row r="15" spans="4:5" ht="14" x14ac:dyDescent="0.3">
      <c r="D15" s="103" t="s">
        <v>102</v>
      </c>
      <c r="E15" s="105">
        <v>0.1</v>
      </c>
    </row>
    <row r="16" spans="4:5" ht="14" x14ac:dyDescent="0.3">
      <c r="D16" s="102"/>
      <c r="E16" s="102"/>
    </row>
    <row r="17" spans="4:5" ht="14" x14ac:dyDescent="0.3">
      <c r="D17" s="107" t="s">
        <v>103</v>
      </c>
      <c r="E17" s="108">
        <f>(E9+E11)/(E15-E13)</f>
        <v>49.999999999999993</v>
      </c>
    </row>
  </sheetData>
  <mergeCells count="1">
    <mergeCell ref="D7:E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5597-5A0F-40CD-ADB0-ACF1046A5CB6}">
  <dimension ref="A1:G26"/>
  <sheetViews>
    <sheetView topLeftCell="A2" zoomScale="160" zoomScaleNormal="160" workbookViewId="0">
      <selection activeCell="K32" sqref="K32"/>
    </sheetView>
  </sheetViews>
  <sheetFormatPr defaultRowHeight="14" x14ac:dyDescent="0.3"/>
  <cols>
    <col min="1" max="1" width="19" style="1" bestFit="1" customWidth="1"/>
    <col min="2" max="2" width="16.90625" style="1" customWidth="1"/>
    <col min="3" max="4" width="8.7265625" style="1"/>
    <col min="5" max="5" width="13.36328125" style="1" bestFit="1" customWidth="1"/>
    <col min="6" max="6" width="20.81640625" style="1" customWidth="1"/>
    <col min="7" max="7" width="16.6328125" style="1" customWidth="1"/>
    <col min="8" max="16384" width="8.7265625" style="1"/>
  </cols>
  <sheetData>
    <row r="1" spans="5:7" ht="19.5" customHeight="1" x14ac:dyDescent="0.3"/>
    <row r="3" spans="5:7" ht="15" x14ac:dyDescent="0.3">
      <c r="E3" s="254" t="s">
        <v>104</v>
      </c>
      <c r="F3" s="255"/>
      <c r="G3" s="255"/>
    </row>
    <row r="4" spans="5:7" x14ac:dyDescent="0.3">
      <c r="E4" s="250"/>
      <c r="F4" s="251"/>
      <c r="G4" s="102"/>
    </row>
    <row r="5" spans="5:7" x14ac:dyDescent="0.3">
      <c r="E5" s="252" t="s">
        <v>105</v>
      </c>
      <c r="F5" s="253"/>
      <c r="G5" s="105">
        <v>0.1</v>
      </c>
    </row>
    <row r="6" spans="5:7" x14ac:dyDescent="0.3">
      <c r="E6" s="258"/>
      <c r="F6" s="259"/>
      <c r="G6" s="102"/>
    </row>
    <row r="7" spans="5:7" x14ac:dyDescent="0.3">
      <c r="E7" s="252" t="s">
        <v>106</v>
      </c>
      <c r="F7" s="253"/>
      <c r="G7" s="105">
        <v>0.04</v>
      </c>
    </row>
    <row r="8" spans="5:7" x14ac:dyDescent="0.3">
      <c r="E8" s="258"/>
      <c r="F8" s="259"/>
      <c r="G8" s="102"/>
    </row>
    <row r="9" spans="5:7" x14ac:dyDescent="0.3">
      <c r="E9" s="252" t="s">
        <v>107</v>
      </c>
      <c r="F9" s="253"/>
      <c r="G9" s="112">
        <v>500</v>
      </c>
    </row>
    <row r="10" spans="5:7" x14ac:dyDescent="0.3">
      <c r="E10" s="258"/>
      <c r="F10" s="259"/>
      <c r="G10" s="102"/>
    </row>
    <row r="11" spans="5:7" x14ac:dyDescent="0.3">
      <c r="E11" s="252" t="s">
        <v>108</v>
      </c>
      <c r="F11" s="253"/>
      <c r="G11" s="112">
        <v>100</v>
      </c>
    </row>
    <row r="12" spans="5:7" x14ac:dyDescent="0.3">
      <c r="E12" s="258"/>
      <c r="F12" s="259"/>
      <c r="G12" s="102"/>
    </row>
    <row r="13" spans="5:7" x14ac:dyDescent="0.3">
      <c r="E13" s="256" t="s">
        <v>109</v>
      </c>
      <c r="F13" s="257"/>
      <c r="G13" s="113">
        <v>100</v>
      </c>
    </row>
    <row r="15" spans="5:7" x14ac:dyDescent="0.3">
      <c r="E15" s="114" t="s">
        <v>9</v>
      </c>
      <c r="F15" s="114" t="s">
        <v>110</v>
      </c>
      <c r="G15" s="114" t="s">
        <v>111</v>
      </c>
    </row>
    <row r="16" spans="5:7" x14ac:dyDescent="0.3">
      <c r="E16" s="115">
        <v>1</v>
      </c>
      <c r="F16" s="159">
        <v>100</v>
      </c>
      <c r="G16" s="159">
        <f>F16/(1+$G$5)^E16</f>
        <v>90.909090909090907</v>
      </c>
    </row>
    <row r="17" spans="1:7" x14ac:dyDescent="0.3">
      <c r="E17" s="115">
        <v>2</v>
      </c>
      <c r="F17" s="159">
        <v>120</v>
      </c>
      <c r="G17" s="159">
        <f>F17/(1+$G$5)^E17</f>
        <v>99.173553719008254</v>
      </c>
    </row>
    <row r="18" spans="1:7" x14ac:dyDescent="0.3">
      <c r="E18" s="115">
        <v>3</v>
      </c>
      <c r="F18" s="159">
        <v>140</v>
      </c>
      <c r="G18" s="159">
        <f>F18/(1+$G$5)^E18</f>
        <v>105.18407212622085</v>
      </c>
    </row>
    <row r="19" spans="1:7" x14ac:dyDescent="0.3">
      <c r="E19" s="173" t="s">
        <v>112</v>
      </c>
      <c r="F19" s="173"/>
      <c r="G19" s="159">
        <f>SUM(G16:G18)</f>
        <v>295.26671675431999</v>
      </c>
    </row>
    <row r="20" spans="1:7" x14ac:dyDescent="0.3">
      <c r="E20" s="117" t="s">
        <v>94</v>
      </c>
      <c r="F20" s="160">
        <f>(F18*(1+$G$7))/($G$5-$G$7)</f>
        <v>2426.6666666666665</v>
      </c>
      <c r="G20" s="160">
        <f>F20/(1+$G$5)^3</f>
        <v>1823.1905835211614</v>
      </c>
    </row>
    <row r="21" spans="1:7" x14ac:dyDescent="0.3">
      <c r="E21" s="248"/>
      <c r="F21" s="248"/>
      <c r="G21" s="248"/>
    </row>
    <row r="22" spans="1:7" x14ac:dyDescent="0.3">
      <c r="E22" s="246" t="s">
        <v>113</v>
      </c>
      <c r="F22" s="246"/>
      <c r="G22" s="119">
        <f>G19 + G20</f>
        <v>2118.4573002754814</v>
      </c>
    </row>
    <row r="23" spans="1:7" x14ac:dyDescent="0.3">
      <c r="E23" s="249"/>
      <c r="F23" s="249"/>
      <c r="G23" s="249"/>
    </row>
    <row r="24" spans="1:7" x14ac:dyDescent="0.3">
      <c r="E24" s="246" t="s">
        <v>114</v>
      </c>
      <c r="F24" s="246"/>
      <c r="G24" s="119">
        <f>G22 - $G$9 + $G$11</f>
        <v>1718.4573002754814</v>
      </c>
    </row>
    <row r="25" spans="1:7" x14ac:dyDescent="0.3">
      <c r="A25" s="247"/>
      <c r="B25" s="247"/>
      <c r="E25" s="249"/>
      <c r="F25" s="249"/>
      <c r="G25" s="249"/>
    </row>
    <row r="26" spans="1:7" x14ac:dyDescent="0.3">
      <c r="E26" s="246" t="s">
        <v>115</v>
      </c>
      <c r="F26" s="246"/>
      <c r="G26" s="119">
        <f>G24/$G$13</f>
        <v>17.184573002754814</v>
      </c>
    </row>
  </sheetData>
  <mergeCells count="19">
    <mergeCell ref="E4:F4"/>
    <mergeCell ref="E5:F5"/>
    <mergeCell ref="E3:G3"/>
    <mergeCell ref="E19:F19"/>
    <mergeCell ref="E22:F22"/>
    <mergeCell ref="E13:F13"/>
    <mergeCell ref="E12:F12"/>
    <mergeCell ref="E11:F11"/>
    <mergeCell ref="E10:F10"/>
    <mergeCell ref="E9:F9"/>
    <mergeCell ref="E8:F8"/>
    <mergeCell ref="E7:F7"/>
    <mergeCell ref="E6:F6"/>
    <mergeCell ref="E24:F24"/>
    <mergeCell ref="E26:F26"/>
    <mergeCell ref="A25:B25"/>
    <mergeCell ref="E21:G21"/>
    <mergeCell ref="E25:G25"/>
    <mergeCell ref="E23:G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1425-1783-48D6-AABD-7FC1CAFDE53C}">
  <dimension ref="B1:E11"/>
  <sheetViews>
    <sheetView zoomScale="160" zoomScaleNormal="160" workbookViewId="0">
      <selection activeCell="K32" sqref="K32"/>
    </sheetView>
  </sheetViews>
  <sheetFormatPr defaultRowHeight="12.5" x14ac:dyDescent="0.25"/>
  <cols>
    <col min="2" max="2" width="20.26953125" bestFit="1" customWidth="1"/>
  </cols>
  <sheetData>
    <row r="1" spans="2:5" ht="15" customHeight="1" x14ac:dyDescent="0.25">
      <c r="B1" s="260" t="s">
        <v>104</v>
      </c>
      <c r="C1" s="260"/>
      <c r="D1" s="260"/>
      <c r="E1" s="260"/>
    </row>
    <row r="2" spans="2:5" ht="3" customHeight="1" x14ac:dyDescent="0.3">
      <c r="B2" s="1"/>
      <c r="C2" s="1"/>
      <c r="D2" s="1"/>
      <c r="E2" s="1"/>
    </row>
    <row r="3" spans="2:5" ht="14" x14ac:dyDescent="0.3">
      <c r="B3" s="261" t="s">
        <v>116</v>
      </c>
      <c r="C3" s="261"/>
      <c r="D3" s="261"/>
      <c r="E3" s="125">
        <v>11</v>
      </c>
    </row>
    <row r="4" spans="2:5" ht="14" x14ac:dyDescent="0.3">
      <c r="B4" s="122" t="s">
        <v>117</v>
      </c>
      <c r="C4" s="122" t="s">
        <v>118</v>
      </c>
      <c r="D4" s="122" t="s">
        <v>119</v>
      </c>
      <c r="E4" s="122" t="s">
        <v>120</v>
      </c>
    </row>
    <row r="5" spans="2:5" ht="14" x14ac:dyDescent="0.3">
      <c r="B5" s="116" t="s">
        <v>121</v>
      </c>
      <c r="C5" s="124">
        <v>10</v>
      </c>
      <c r="D5" s="123">
        <v>150</v>
      </c>
      <c r="E5" s="123">
        <f>D5/C5</f>
        <v>15</v>
      </c>
    </row>
    <row r="6" spans="2:5" ht="14" x14ac:dyDescent="0.3">
      <c r="B6" s="116" t="s">
        <v>122</v>
      </c>
      <c r="C6" s="124">
        <v>8</v>
      </c>
      <c r="D6" s="123">
        <v>128</v>
      </c>
      <c r="E6" s="123">
        <f t="shared" ref="E6:E8" si="0">D6/C6</f>
        <v>16</v>
      </c>
    </row>
    <row r="7" spans="2:5" ht="14" x14ac:dyDescent="0.3">
      <c r="B7" s="116" t="s">
        <v>123</v>
      </c>
      <c r="C7" s="124">
        <v>12</v>
      </c>
      <c r="D7" s="123">
        <v>180</v>
      </c>
      <c r="E7" s="123">
        <f t="shared" si="0"/>
        <v>15</v>
      </c>
    </row>
    <row r="8" spans="2:5" ht="14" x14ac:dyDescent="0.3">
      <c r="B8" s="116" t="s">
        <v>124</v>
      </c>
      <c r="C8" s="124">
        <v>9</v>
      </c>
      <c r="D8" s="123">
        <v>144</v>
      </c>
      <c r="E8" s="123">
        <f t="shared" si="0"/>
        <v>16</v>
      </c>
    </row>
    <row r="9" spans="2:5" ht="14" x14ac:dyDescent="0.3">
      <c r="B9" s="173" t="s">
        <v>125</v>
      </c>
      <c r="C9" s="173"/>
      <c r="D9" s="173"/>
      <c r="E9" s="123">
        <f>AVERAGE(E5:E8)</f>
        <v>15.5</v>
      </c>
    </row>
    <row r="10" spans="2:5" ht="4.5" customHeight="1" x14ac:dyDescent="0.3">
      <c r="B10" s="1"/>
      <c r="C10" s="1"/>
      <c r="D10" s="1"/>
      <c r="E10" s="5"/>
    </row>
    <row r="11" spans="2:5" ht="14" x14ac:dyDescent="0.3">
      <c r="B11" s="174" t="s">
        <v>126</v>
      </c>
      <c r="C11" s="174"/>
      <c r="D11" s="174"/>
      <c r="E11" s="127">
        <f>E9*$E$3</f>
        <v>170.5</v>
      </c>
    </row>
  </sheetData>
  <mergeCells count="4">
    <mergeCell ref="B1:E1"/>
    <mergeCell ref="B3:D3"/>
    <mergeCell ref="B9:D9"/>
    <mergeCell ref="B11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56CF-9A46-4E78-92C4-8D8A760DF2B8}">
  <dimension ref="B2:D10"/>
  <sheetViews>
    <sheetView zoomScale="160" zoomScaleNormal="160" workbookViewId="0">
      <selection activeCell="K32" sqref="K32"/>
    </sheetView>
  </sheetViews>
  <sheetFormatPr defaultRowHeight="14" x14ac:dyDescent="0.3"/>
  <cols>
    <col min="1" max="1" width="8.7265625" style="1"/>
    <col min="2" max="2" width="12.90625" style="1" customWidth="1"/>
    <col min="3" max="3" width="16.1796875" style="1" customWidth="1"/>
    <col min="4" max="4" width="24.6328125" style="1" customWidth="1"/>
    <col min="5" max="16384" width="8.7265625" style="1"/>
  </cols>
  <sheetData>
    <row r="2" spans="2:4" ht="15" x14ac:dyDescent="0.3">
      <c r="B2" s="262" t="s">
        <v>127</v>
      </c>
      <c r="C2" s="262"/>
      <c r="D2" s="262"/>
    </row>
    <row r="3" spans="2:4" x14ac:dyDescent="0.3">
      <c r="B3" s="247"/>
      <c r="C3" s="247"/>
      <c r="D3" s="247"/>
    </row>
    <row r="4" spans="2:4" x14ac:dyDescent="0.3">
      <c r="B4" s="263" t="s">
        <v>128</v>
      </c>
      <c r="C4" s="263"/>
      <c r="D4" s="128">
        <v>0.06</v>
      </c>
    </row>
    <row r="5" spans="2:4" x14ac:dyDescent="0.3">
      <c r="B5" s="247"/>
      <c r="C5" s="247"/>
      <c r="D5" s="247"/>
    </row>
    <row r="6" spans="2:4" x14ac:dyDescent="0.3">
      <c r="B6" s="263" t="s">
        <v>129</v>
      </c>
      <c r="C6" s="263"/>
      <c r="D6" s="128">
        <v>0.12</v>
      </c>
    </row>
    <row r="7" spans="2:4" x14ac:dyDescent="0.3">
      <c r="B7" s="247"/>
      <c r="C7" s="247"/>
      <c r="D7" s="247"/>
    </row>
    <row r="8" spans="2:4" x14ac:dyDescent="0.3">
      <c r="B8" s="263" t="s">
        <v>130</v>
      </c>
      <c r="C8" s="263"/>
      <c r="D8" s="129">
        <v>1.3</v>
      </c>
    </row>
    <row r="9" spans="2:4" x14ac:dyDescent="0.3">
      <c r="B9" s="247"/>
      <c r="C9" s="247"/>
      <c r="D9" s="247"/>
    </row>
    <row r="10" spans="2:4" x14ac:dyDescent="0.3">
      <c r="B10" s="264" t="s">
        <v>131</v>
      </c>
      <c r="C10" s="264"/>
      <c r="D10" s="130">
        <f>D4 + D8*(D6 - D4)</f>
        <v>0.13800000000000001</v>
      </c>
    </row>
  </sheetData>
  <mergeCells count="9">
    <mergeCell ref="B2:D2"/>
    <mergeCell ref="B4:C4"/>
    <mergeCell ref="B6:C6"/>
    <mergeCell ref="B8:C8"/>
    <mergeCell ref="B10:C10"/>
    <mergeCell ref="B3:D3"/>
    <mergeCell ref="B5:D5"/>
    <mergeCell ref="B7:D7"/>
    <mergeCell ref="B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0D07-91EE-4C76-88F3-1319A38F96F7}">
  <dimension ref="B2:D14"/>
  <sheetViews>
    <sheetView zoomScale="160" zoomScaleNormal="160" workbookViewId="0">
      <selection activeCell="K32" sqref="K32"/>
    </sheetView>
  </sheetViews>
  <sheetFormatPr defaultRowHeight="12.5" x14ac:dyDescent="0.25"/>
  <cols>
    <col min="2" max="2" width="15.7265625" customWidth="1"/>
    <col min="3" max="3" width="12.36328125" customWidth="1"/>
    <col min="4" max="4" width="33.90625" customWidth="1"/>
  </cols>
  <sheetData>
    <row r="2" spans="2:4" ht="15" x14ac:dyDescent="0.3">
      <c r="B2" s="262" t="s">
        <v>132</v>
      </c>
      <c r="C2" s="262"/>
      <c r="D2" s="262"/>
    </row>
    <row r="3" spans="2:4" ht="14" x14ac:dyDescent="0.3">
      <c r="B3" s="247"/>
      <c r="C3" s="247"/>
      <c r="D3" s="247"/>
    </row>
    <row r="4" spans="2:4" ht="14" x14ac:dyDescent="0.3">
      <c r="B4" s="263" t="s">
        <v>128</v>
      </c>
      <c r="C4" s="263"/>
      <c r="D4" s="128">
        <v>0.06</v>
      </c>
    </row>
    <row r="5" spans="2:4" ht="14" x14ac:dyDescent="0.3">
      <c r="B5" s="247"/>
      <c r="C5" s="247"/>
      <c r="D5" s="247"/>
    </row>
    <row r="6" spans="2:4" ht="14" x14ac:dyDescent="0.3">
      <c r="B6" s="263" t="s">
        <v>129</v>
      </c>
      <c r="C6" s="263"/>
      <c r="D6" s="128">
        <v>0.12</v>
      </c>
    </row>
    <row r="7" spans="2:4" ht="14" x14ac:dyDescent="0.3">
      <c r="B7" s="247"/>
      <c r="C7" s="247"/>
      <c r="D7" s="247"/>
    </row>
    <row r="8" spans="2:4" ht="14" x14ac:dyDescent="0.3">
      <c r="B8" s="263" t="s">
        <v>130</v>
      </c>
      <c r="C8" s="263"/>
      <c r="D8" s="129">
        <v>1.3</v>
      </c>
    </row>
    <row r="9" spans="2:4" ht="14" x14ac:dyDescent="0.3">
      <c r="B9" s="247"/>
      <c r="C9" s="247"/>
      <c r="D9" s="247"/>
    </row>
    <row r="10" spans="2:4" ht="14" x14ac:dyDescent="0.3">
      <c r="B10" s="265" t="s">
        <v>134</v>
      </c>
      <c r="C10" s="265"/>
      <c r="D10" s="130">
        <f>D6-D4</f>
        <v>0.06</v>
      </c>
    </row>
    <row r="11" spans="2:4" x14ac:dyDescent="0.25">
      <c r="B11" s="131"/>
      <c r="C11" s="131"/>
    </row>
    <row r="12" spans="2:4" ht="14" x14ac:dyDescent="0.3">
      <c r="B12" s="265" t="s">
        <v>133</v>
      </c>
      <c r="C12" s="265"/>
      <c r="D12" s="130">
        <f>D8*(D6-D4)</f>
        <v>7.8E-2</v>
      </c>
    </row>
    <row r="13" spans="2:4" x14ac:dyDescent="0.25">
      <c r="B13" s="131"/>
      <c r="C13" s="131"/>
    </row>
    <row r="14" spans="2:4" ht="14" x14ac:dyDescent="0.3">
      <c r="B14" s="265" t="s">
        <v>131</v>
      </c>
      <c r="C14" s="265"/>
      <c r="D14" s="130">
        <f>D4+D12</f>
        <v>0.13800000000000001</v>
      </c>
    </row>
  </sheetData>
  <mergeCells count="11">
    <mergeCell ref="B7:D7"/>
    <mergeCell ref="B2:D2"/>
    <mergeCell ref="B3:D3"/>
    <mergeCell ref="B4:C4"/>
    <mergeCell ref="B5:D5"/>
    <mergeCell ref="B6:C6"/>
    <mergeCell ref="B8:C8"/>
    <mergeCell ref="B9:D9"/>
    <mergeCell ref="B10:C10"/>
    <mergeCell ref="B12:C12"/>
    <mergeCell ref="B14:C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6F67-D783-4CB9-9574-1F98925BFE4D}">
  <dimension ref="B2:D10"/>
  <sheetViews>
    <sheetView zoomScale="160" zoomScaleNormal="160" workbookViewId="0">
      <selection activeCell="K32" sqref="K32"/>
    </sheetView>
  </sheetViews>
  <sheetFormatPr defaultRowHeight="12.5" x14ac:dyDescent="0.25"/>
  <cols>
    <col min="2" max="2" width="24.90625" customWidth="1"/>
    <col min="3" max="3" width="22.6328125" customWidth="1"/>
    <col min="4" max="4" width="19.36328125" customWidth="1"/>
  </cols>
  <sheetData>
    <row r="2" spans="2:4" ht="15" x14ac:dyDescent="0.3">
      <c r="B2" s="262" t="s">
        <v>136</v>
      </c>
      <c r="C2" s="262"/>
      <c r="D2" s="262"/>
    </row>
    <row r="3" spans="2:4" ht="14" x14ac:dyDescent="0.3">
      <c r="B3" s="247"/>
      <c r="C3" s="247"/>
      <c r="D3" s="247"/>
    </row>
    <row r="4" spans="2:4" ht="14" x14ac:dyDescent="0.3">
      <c r="B4" s="263" t="s">
        <v>128</v>
      </c>
      <c r="C4" s="263"/>
      <c r="D4" s="128">
        <v>0.06</v>
      </c>
    </row>
    <row r="5" spans="2:4" ht="14" x14ac:dyDescent="0.3">
      <c r="B5" s="247"/>
      <c r="C5" s="247"/>
      <c r="D5" s="247"/>
    </row>
    <row r="6" spans="2:4" ht="14" x14ac:dyDescent="0.3">
      <c r="B6" s="263" t="s">
        <v>129</v>
      </c>
      <c r="C6" s="263"/>
      <c r="D6" s="128">
        <v>0.12</v>
      </c>
    </row>
    <row r="7" spans="2:4" ht="14" x14ac:dyDescent="0.3">
      <c r="B7" s="247"/>
      <c r="C7" s="247"/>
      <c r="D7" s="247"/>
    </row>
    <row r="8" spans="2:4" ht="14" x14ac:dyDescent="0.3">
      <c r="B8" s="263" t="s">
        <v>130</v>
      </c>
      <c r="C8" s="263"/>
      <c r="D8" s="129">
        <v>1.2</v>
      </c>
    </row>
    <row r="9" spans="2:4" ht="14" x14ac:dyDescent="0.3">
      <c r="B9" s="247"/>
      <c r="C9" s="247"/>
      <c r="D9" s="247"/>
    </row>
    <row r="10" spans="2:4" ht="14" x14ac:dyDescent="0.3">
      <c r="B10" s="265" t="s">
        <v>135</v>
      </c>
      <c r="C10" s="265"/>
      <c r="D10" s="130">
        <f>D4 + D8*(D6 - D4)</f>
        <v>0.13200000000000001</v>
      </c>
    </row>
  </sheetData>
  <mergeCells count="9">
    <mergeCell ref="B8:C8"/>
    <mergeCell ref="B9:D9"/>
    <mergeCell ref="B10:C10"/>
    <mergeCell ref="B2:D2"/>
    <mergeCell ref="B3:D3"/>
    <mergeCell ref="B4:C4"/>
    <mergeCell ref="B5:D5"/>
    <mergeCell ref="B6:C6"/>
    <mergeCell ref="B7:D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9EEC-FD08-4F10-B95D-3AA5936F60E6}">
  <dimension ref="B2:D15"/>
  <sheetViews>
    <sheetView workbookViewId="0">
      <selection activeCell="K32" sqref="K32"/>
    </sheetView>
  </sheetViews>
  <sheetFormatPr defaultRowHeight="14" x14ac:dyDescent="0.3"/>
  <cols>
    <col min="1" max="1" width="8.7265625" style="1"/>
    <col min="2" max="2" width="6.453125" style="1" bestFit="1" customWidth="1"/>
    <col min="3" max="3" width="15.81640625" style="1" bestFit="1" customWidth="1"/>
    <col min="4" max="4" width="18.54296875" style="1" bestFit="1" customWidth="1"/>
    <col min="5" max="16384" width="8.7265625" style="1"/>
  </cols>
  <sheetData>
    <row r="2" spans="2:4" x14ac:dyDescent="0.3">
      <c r="B2" s="267" t="s">
        <v>142</v>
      </c>
      <c r="C2" s="267"/>
      <c r="D2" s="267"/>
    </row>
    <row r="3" spans="2:4" ht="2.5" customHeight="1" x14ac:dyDescent="0.3">
      <c r="B3" s="118"/>
      <c r="C3" s="118"/>
      <c r="D3" s="118"/>
    </row>
    <row r="4" spans="2:4" x14ac:dyDescent="0.3">
      <c r="B4" s="132" t="s">
        <v>137</v>
      </c>
      <c r="C4" s="132" t="s">
        <v>138</v>
      </c>
      <c r="D4" s="132" t="s">
        <v>129</v>
      </c>
    </row>
    <row r="5" spans="2:4" x14ac:dyDescent="0.3">
      <c r="B5" s="115">
        <v>1</v>
      </c>
      <c r="C5" s="136">
        <v>0.03</v>
      </c>
      <c r="D5" s="136">
        <v>0.02</v>
      </c>
    </row>
    <row r="6" spans="2:4" x14ac:dyDescent="0.3">
      <c r="B6" s="115">
        <v>2</v>
      </c>
      <c r="C6" s="136">
        <v>0.04</v>
      </c>
      <c r="D6" s="136">
        <v>0.03</v>
      </c>
    </row>
    <row r="7" spans="2:4" x14ac:dyDescent="0.3">
      <c r="B7" s="115">
        <v>3</v>
      </c>
      <c r="C7" s="136">
        <v>-0.01</v>
      </c>
      <c r="D7" s="136">
        <v>-0.02</v>
      </c>
    </row>
    <row r="8" spans="2:4" x14ac:dyDescent="0.3">
      <c r="B8" s="115">
        <v>4</v>
      </c>
      <c r="C8" s="136">
        <v>0.05</v>
      </c>
      <c r="D8" s="136">
        <v>0.03</v>
      </c>
    </row>
    <row r="9" spans="2:4" x14ac:dyDescent="0.3">
      <c r="B9" s="115">
        <v>5</v>
      </c>
      <c r="C9" s="136">
        <v>0.02</v>
      </c>
      <c r="D9" s="136">
        <v>0.01</v>
      </c>
    </row>
    <row r="10" spans="2:4" x14ac:dyDescent="0.3">
      <c r="B10" s="115">
        <v>6</v>
      </c>
      <c r="C10" s="136">
        <v>0.06</v>
      </c>
      <c r="D10" s="136">
        <v>0.04</v>
      </c>
    </row>
    <row r="11" spans="2:4" ht="4" customHeight="1" x14ac:dyDescent="0.3"/>
    <row r="12" spans="2:4" x14ac:dyDescent="0.3">
      <c r="B12" s="266" t="s">
        <v>139</v>
      </c>
      <c r="C12" s="266"/>
      <c r="D12" s="17">
        <f>_xlfn.COVARIANCE.P(C5:C10,D5:D10)</f>
        <v>4.3611111111111107E-4</v>
      </c>
    </row>
    <row r="13" spans="2:4" x14ac:dyDescent="0.3">
      <c r="B13" s="266" t="s">
        <v>140</v>
      </c>
      <c r="C13" s="266"/>
      <c r="D13" s="17">
        <f>_xlfn.VAR.P(D5:D10)</f>
        <v>3.8055555555555564E-4</v>
      </c>
    </row>
    <row r="14" spans="2:4" x14ac:dyDescent="0.3">
      <c r="B14" s="265" t="s">
        <v>141</v>
      </c>
      <c r="C14" s="265"/>
      <c r="D14" s="161">
        <f>D12/D13</f>
        <v>1.1459854014598536</v>
      </c>
    </row>
    <row r="15" spans="2:4" x14ac:dyDescent="0.3">
      <c r="B15" s="265" t="s">
        <v>141</v>
      </c>
      <c r="C15" s="265"/>
      <c r="D15" s="161">
        <f>SLOPE(C5:C10,D5:D10)</f>
        <v>1.1459854014598538</v>
      </c>
    </row>
  </sheetData>
  <mergeCells count="5">
    <mergeCell ref="B12:C12"/>
    <mergeCell ref="B13:C13"/>
    <mergeCell ref="B14:C14"/>
    <mergeCell ref="B2:D2"/>
    <mergeCell ref="B15:C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900E-DC52-457C-A608-3A1F587A9F23}">
  <dimension ref="B2:C18"/>
  <sheetViews>
    <sheetView tabSelected="1" workbookViewId="0">
      <selection activeCell="L36" sqref="L36"/>
    </sheetView>
  </sheetViews>
  <sheetFormatPr defaultRowHeight="12.5" x14ac:dyDescent="0.25"/>
  <cols>
    <col min="2" max="2" width="36" bestFit="1" customWidth="1"/>
    <col min="3" max="3" width="15.08984375" bestFit="1" customWidth="1"/>
  </cols>
  <sheetData>
    <row r="2" spans="2:3" ht="17.5" x14ac:dyDescent="0.35">
      <c r="B2" s="268" t="s">
        <v>143</v>
      </c>
      <c r="C2" s="268"/>
    </row>
    <row r="3" spans="2:3" ht="3.5" customHeight="1" x14ac:dyDescent="0.3">
      <c r="B3" s="116"/>
      <c r="C3" s="116"/>
    </row>
    <row r="4" spans="2:3" ht="14" x14ac:dyDescent="0.3">
      <c r="B4" s="133" t="s">
        <v>144</v>
      </c>
      <c r="C4" s="135">
        <v>0.1</v>
      </c>
    </row>
    <row r="5" spans="2:3" ht="3.5" customHeight="1" x14ac:dyDescent="0.3">
      <c r="B5" s="134"/>
      <c r="C5" s="136"/>
    </row>
    <row r="6" spans="2:3" ht="14" x14ac:dyDescent="0.3">
      <c r="B6" s="133" t="s">
        <v>29</v>
      </c>
      <c r="C6" s="135">
        <v>0.12</v>
      </c>
    </row>
    <row r="7" spans="2:3" ht="3.5" customHeight="1" x14ac:dyDescent="0.3">
      <c r="B7" s="134"/>
      <c r="C7" s="136"/>
    </row>
    <row r="8" spans="2:3" ht="14" x14ac:dyDescent="0.3">
      <c r="B8" s="133" t="s">
        <v>145</v>
      </c>
      <c r="C8" s="135">
        <v>8.5000000000000006E-2</v>
      </c>
    </row>
    <row r="9" spans="2:3" ht="3.5" customHeight="1" x14ac:dyDescent="0.3">
      <c r="B9" s="134"/>
      <c r="C9" s="136"/>
    </row>
    <row r="10" spans="2:3" ht="14" x14ac:dyDescent="0.3">
      <c r="B10" s="133" t="s">
        <v>146</v>
      </c>
      <c r="C10" s="135">
        <v>0.3</v>
      </c>
    </row>
    <row r="11" spans="2:3" ht="9" customHeight="1" x14ac:dyDescent="0.3">
      <c r="B11" s="134"/>
      <c r="C11" s="115"/>
    </row>
    <row r="12" spans="2:3" ht="14" x14ac:dyDescent="0.3">
      <c r="B12" s="138" t="s">
        <v>147</v>
      </c>
      <c r="C12" s="139">
        <f>C4*(1-C10)</f>
        <v>6.9999999999999993E-2</v>
      </c>
    </row>
    <row r="13" spans="2:3" ht="4.5" customHeight="1" x14ac:dyDescent="0.3">
      <c r="B13" s="140"/>
      <c r="C13" s="110"/>
    </row>
    <row r="14" spans="2:3" ht="14" x14ac:dyDescent="0.3">
      <c r="B14" s="138" t="s">
        <v>148</v>
      </c>
      <c r="C14" s="139">
        <f>C6*(1-C10)</f>
        <v>8.3999999999999991E-2</v>
      </c>
    </row>
    <row r="15" spans="2:3" ht="4.5" customHeight="1" x14ac:dyDescent="0.3">
      <c r="B15" s="140"/>
      <c r="C15" s="110"/>
    </row>
    <row r="16" spans="2:3" ht="14" x14ac:dyDescent="0.3">
      <c r="B16" s="138" t="s">
        <v>149</v>
      </c>
      <c r="C16" s="139">
        <f>C8*(1-C10)</f>
        <v>5.9499999999999997E-2</v>
      </c>
    </row>
    <row r="18" spans="3:3" ht="14" x14ac:dyDescent="0.3">
      <c r="C18" s="29" t="s">
        <v>217</v>
      </c>
    </row>
  </sheetData>
  <mergeCells count="1">
    <mergeCell ref="B2:C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E93B-DB88-408C-A8E2-F97E89A14FDD}">
  <dimension ref="B2:D16"/>
  <sheetViews>
    <sheetView tabSelected="1" workbookViewId="0">
      <selection activeCell="L36" sqref="L36"/>
    </sheetView>
  </sheetViews>
  <sheetFormatPr defaultRowHeight="12.5" x14ac:dyDescent="0.25"/>
  <cols>
    <col min="2" max="2" width="16.26953125" customWidth="1"/>
    <col min="3" max="3" width="20.26953125" customWidth="1"/>
    <col min="4" max="4" width="43.08984375" customWidth="1"/>
  </cols>
  <sheetData>
    <row r="2" spans="2:4" ht="15" x14ac:dyDescent="0.3">
      <c r="B2" s="262" t="s">
        <v>150</v>
      </c>
      <c r="C2" s="262"/>
      <c r="D2" s="262"/>
    </row>
    <row r="3" spans="2:4" ht="14" x14ac:dyDescent="0.3">
      <c r="B3" s="247"/>
      <c r="C3" s="247"/>
      <c r="D3" s="247"/>
    </row>
    <row r="4" spans="2:4" ht="14" x14ac:dyDescent="0.3">
      <c r="B4" s="269" t="s">
        <v>56</v>
      </c>
      <c r="C4" s="269"/>
      <c r="D4" s="144">
        <v>100000</v>
      </c>
    </row>
    <row r="5" spans="2:4" ht="14" x14ac:dyDescent="0.3">
      <c r="B5" s="247"/>
      <c r="C5" s="247"/>
      <c r="D5" s="247"/>
    </row>
    <row r="6" spans="2:4" ht="14" x14ac:dyDescent="0.3">
      <c r="B6" s="269" t="s">
        <v>151</v>
      </c>
      <c r="C6" s="269"/>
      <c r="D6" s="143">
        <v>0.1</v>
      </c>
    </row>
    <row r="7" spans="2:4" ht="14" x14ac:dyDescent="0.3">
      <c r="B7" s="247"/>
      <c r="C7" s="247"/>
      <c r="D7" s="247"/>
    </row>
    <row r="8" spans="2:4" ht="14" x14ac:dyDescent="0.3">
      <c r="B8" s="269" t="s">
        <v>152</v>
      </c>
      <c r="C8" s="269"/>
      <c r="D8" s="143">
        <v>0.05</v>
      </c>
    </row>
    <row r="9" spans="2:4" ht="14" x14ac:dyDescent="0.3">
      <c r="B9" s="247"/>
      <c r="C9" s="247"/>
      <c r="D9" s="247"/>
    </row>
    <row r="10" spans="2:4" ht="14" x14ac:dyDescent="0.3">
      <c r="B10" s="269" t="s">
        <v>153</v>
      </c>
      <c r="C10" s="269"/>
      <c r="D10" s="144">
        <v>200000</v>
      </c>
    </row>
    <row r="11" spans="2:4" x14ac:dyDescent="0.25">
      <c r="B11" s="131"/>
      <c r="C11" s="131"/>
    </row>
    <row r="12" spans="2:4" ht="14" x14ac:dyDescent="0.25">
      <c r="B12" s="270" t="s">
        <v>154</v>
      </c>
      <c r="C12" s="270"/>
      <c r="D12" s="145">
        <f>D4/D6</f>
        <v>1000000</v>
      </c>
    </row>
    <row r="13" spans="2:4" x14ac:dyDescent="0.25">
      <c r="B13" s="142"/>
      <c r="C13" s="142"/>
      <c r="D13" s="142"/>
    </row>
    <row r="14" spans="2:4" ht="14" x14ac:dyDescent="0.25">
      <c r="B14" s="270" t="s">
        <v>155</v>
      </c>
      <c r="C14" s="270"/>
      <c r="D14" s="145">
        <f>D12-D10</f>
        <v>800000</v>
      </c>
    </row>
    <row r="16" spans="2:4" ht="14" x14ac:dyDescent="0.25">
      <c r="D16" s="141" t="s">
        <v>213</v>
      </c>
    </row>
  </sheetData>
  <mergeCells count="11">
    <mergeCell ref="B7:D7"/>
    <mergeCell ref="B2:D2"/>
    <mergeCell ref="B3:D3"/>
    <mergeCell ref="B4:C4"/>
    <mergeCell ref="B5:D5"/>
    <mergeCell ref="B6:C6"/>
    <mergeCell ref="B8:C8"/>
    <mergeCell ref="B9:D9"/>
    <mergeCell ref="B10:C10"/>
    <mergeCell ref="B12:C12"/>
    <mergeCell ref="B14:C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FCD7-5BF3-41D3-B05B-FD3307BB0B7F}">
  <dimension ref="B2:D18"/>
  <sheetViews>
    <sheetView tabSelected="1" zoomScale="85" workbookViewId="0">
      <selection activeCell="L36" sqref="L36"/>
    </sheetView>
  </sheetViews>
  <sheetFormatPr defaultRowHeight="12.5" x14ac:dyDescent="0.25"/>
  <cols>
    <col min="2" max="2" width="21.6328125" customWidth="1"/>
    <col min="3" max="3" width="27.1796875" customWidth="1"/>
    <col min="4" max="4" width="55" customWidth="1"/>
  </cols>
  <sheetData>
    <row r="2" spans="2:4" ht="15" x14ac:dyDescent="0.3">
      <c r="B2" s="262" t="s">
        <v>156</v>
      </c>
      <c r="C2" s="262"/>
      <c r="D2" s="262"/>
    </row>
    <row r="3" spans="2:4" ht="14" x14ac:dyDescent="0.3">
      <c r="B3" s="247"/>
      <c r="C3" s="247"/>
      <c r="D3" s="247"/>
    </row>
    <row r="4" spans="2:4" ht="14" x14ac:dyDescent="0.3">
      <c r="B4" s="269" t="s">
        <v>157</v>
      </c>
      <c r="C4" s="269"/>
      <c r="D4" s="143">
        <v>0.1</v>
      </c>
    </row>
    <row r="5" spans="2:4" ht="14" x14ac:dyDescent="0.3">
      <c r="B5" s="247"/>
      <c r="C5" s="247"/>
      <c r="D5" s="247"/>
    </row>
    <row r="6" spans="2:4" ht="14" x14ac:dyDescent="0.3">
      <c r="B6" s="269" t="s">
        <v>158</v>
      </c>
      <c r="C6" s="269"/>
      <c r="D6" s="143">
        <v>0.05</v>
      </c>
    </row>
    <row r="7" spans="2:4" ht="14" x14ac:dyDescent="0.3">
      <c r="B7" s="247"/>
      <c r="C7" s="247"/>
      <c r="D7" s="247"/>
    </row>
    <row r="8" spans="2:4" ht="14" x14ac:dyDescent="0.3">
      <c r="B8" s="269" t="s">
        <v>159</v>
      </c>
      <c r="C8" s="269"/>
      <c r="D8" s="147">
        <v>0.25</v>
      </c>
    </row>
    <row r="9" spans="2:4" ht="14" x14ac:dyDescent="0.3">
      <c r="B9" s="247"/>
      <c r="C9" s="247"/>
      <c r="D9" s="247"/>
    </row>
    <row r="10" spans="2:4" ht="14" x14ac:dyDescent="0.3">
      <c r="B10" s="265" t="s">
        <v>160</v>
      </c>
      <c r="C10" s="265"/>
      <c r="D10" s="130">
        <f>D4 + (D4-D6)*D8</f>
        <v>0.1125</v>
      </c>
    </row>
    <row r="11" spans="2:4" x14ac:dyDescent="0.25">
      <c r="B11" s="131"/>
      <c r="C11" s="131"/>
    </row>
    <row r="12" spans="2:4" ht="14" x14ac:dyDescent="0.25">
      <c r="B12" s="271" t="s">
        <v>161</v>
      </c>
      <c r="C12" s="271"/>
      <c r="D12" s="296">
        <f>1/(1+D8)</f>
        <v>0.8</v>
      </c>
    </row>
    <row r="13" spans="2:4" x14ac:dyDescent="0.25">
      <c r="B13" s="146"/>
      <c r="C13" s="146"/>
      <c r="D13" s="142"/>
    </row>
    <row r="14" spans="2:4" ht="14" x14ac:dyDescent="0.25">
      <c r="B14" s="271" t="s">
        <v>162</v>
      </c>
      <c r="C14" s="271"/>
      <c r="D14" s="296">
        <f>D8/(1+D8)</f>
        <v>0.2</v>
      </c>
    </row>
    <row r="15" spans="2:4" x14ac:dyDescent="0.25">
      <c r="B15" s="146"/>
      <c r="C15" s="146"/>
    </row>
    <row r="16" spans="2:4" ht="14" x14ac:dyDescent="0.25">
      <c r="B16" s="271" t="s">
        <v>105</v>
      </c>
      <c r="C16" s="271"/>
      <c r="D16" s="141">
        <f>D10*D12 + D6*D14</f>
        <v>0.1</v>
      </c>
    </row>
    <row r="18" spans="4:4" ht="14" x14ac:dyDescent="0.25">
      <c r="D18" s="141" t="s">
        <v>213</v>
      </c>
    </row>
  </sheetData>
  <mergeCells count="12">
    <mergeCell ref="B16:C16"/>
    <mergeCell ref="B2:D2"/>
    <mergeCell ref="B3:D3"/>
    <mergeCell ref="B4:C4"/>
    <mergeCell ref="B5:D5"/>
    <mergeCell ref="B6:C6"/>
    <mergeCell ref="B7:D7"/>
    <mergeCell ref="B8:C8"/>
    <mergeCell ref="B9:D9"/>
    <mergeCell ref="B10:C10"/>
    <mergeCell ref="B12:C12"/>
    <mergeCell ref="B14:C1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9D56-C81A-4D79-87B3-075061813F15}">
  <dimension ref="B2:D24"/>
  <sheetViews>
    <sheetView tabSelected="1" workbookViewId="0">
      <selection activeCell="L36" sqref="L36"/>
    </sheetView>
  </sheetViews>
  <sheetFormatPr defaultRowHeight="12.5" x14ac:dyDescent="0.25"/>
  <cols>
    <col min="3" max="3" width="21.26953125" customWidth="1"/>
    <col min="4" max="4" width="17.7265625" customWidth="1"/>
  </cols>
  <sheetData>
    <row r="2" spans="2:4" ht="17.5" x14ac:dyDescent="0.35">
      <c r="B2" s="268" t="s">
        <v>163</v>
      </c>
      <c r="C2" s="268"/>
      <c r="D2" s="268"/>
    </row>
    <row r="3" spans="2:4" ht="14" x14ac:dyDescent="0.3">
      <c r="B3" s="247"/>
      <c r="C3" s="247"/>
      <c r="D3" s="247"/>
    </row>
    <row r="4" spans="2:4" ht="14" x14ac:dyDescent="0.3">
      <c r="B4" s="269" t="s">
        <v>164</v>
      </c>
      <c r="C4" s="269"/>
      <c r="D4" s="144">
        <v>100000</v>
      </c>
    </row>
    <row r="5" spans="2:4" ht="14" x14ac:dyDescent="0.3">
      <c r="B5" s="247"/>
      <c r="C5" s="247"/>
      <c r="D5" s="247"/>
    </row>
    <row r="6" spans="2:4" ht="14" x14ac:dyDescent="0.3">
      <c r="B6" s="269" t="s">
        <v>29</v>
      </c>
      <c r="C6" s="269"/>
      <c r="D6" s="143">
        <v>0.1</v>
      </c>
    </row>
    <row r="7" spans="2:4" ht="14" x14ac:dyDescent="0.3">
      <c r="B7" s="247"/>
      <c r="C7" s="247"/>
      <c r="D7" s="247"/>
    </row>
    <row r="8" spans="2:4" ht="14" x14ac:dyDescent="0.3">
      <c r="B8" s="269" t="s">
        <v>57</v>
      </c>
      <c r="C8" s="269"/>
      <c r="D8" s="143">
        <v>0.3</v>
      </c>
    </row>
    <row r="9" spans="2:4" ht="14" x14ac:dyDescent="0.3">
      <c r="B9" s="247"/>
      <c r="C9" s="247"/>
      <c r="D9" s="247"/>
    </row>
    <row r="10" spans="2:4" ht="14" x14ac:dyDescent="0.3">
      <c r="B10" s="272" t="s">
        <v>165</v>
      </c>
      <c r="C10" s="272"/>
      <c r="D10" s="162">
        <f>D4*D6</f>
        <v>10000</v>
      </c>
    </row>
    <row r="11" spans="2:4" x14ac:dyDescent="0.25">
      <c r="B11" s="131"/>
      <c r="C11" s="131"/>
    </row>
    <row r="12" spans="2:4" ht="14" x14ac:dyDescent="0.25">
      <c r="B12" s="273" t="s">
        <v>166</v>
      </c>
      <c r="C12" s="273"/>
      <c r="D12" s="125">
        <f>D10*D8</f>
        <v>3000</v>
      </c>
    </row>
    <row r="13" spans="2:4" x14ac:dyDescent="0.25">
      <c r="B13" s="146"/>
      <c r="C13" s="146"/>
      <c r="D13" s="142"/>
    </row>
    <row r="14" spans="2:4" ht="14" x14ac:dyDescent="0.25">
      <c r="B14" s="273" t="s">
        <v>167</v>
      </c>
      <c r="C14" s="273"/>
      <c r="D14" s="163">
        <f>D6*(1-D8)</f>
        <v>6.9999999999999993E-2</v>
      </c>
    </row>
    <row r="15" spans="2:4" x14ac:dyDescent="0.25">
      <c r="B15" s="146"/>
      <c r="C15" s="146"/>
    </row>
    <row r="16" spans="2:4" ht="14" x14ac:dyDescent="0.25">
      <c r="B16" s="149"/>
      <c r="C16" s="149"/>
      <c r="D16" s="163" t="s">
        <v>213</v>
      </c>
    </row>
    <row r="24" spans="3:3" ht="14" x14ac:dyDescent="0.3">
      <c r="C24" s="148"/>
    </row>
  </sheetData>
  <mergeCells count="11">
    <mergeCell ref="B7:D7"/>
    <mergeCell ref="B2:D2"/>
    <mergeCell ref="B3:D3"/>
    <mergeCell ref="B4:C4"/>
    <mergeCell ref="B5:D5"/>
    <mergeCell ref="B6:C6"/>
    <mergeCell ref="B8:C8"/>
    <mergeCell ref="B9:D9"/>
    <mergeCell ref="B10:C10"/>
    <mergeCell ref="B12:C12"/>
    <mergeCell ref="B14:C1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F0D0-EDE8-4258-94FE-2C98602AAED4}">
  <dimension ref="B2:D14"/>
  <sheetViews>
    <sheetView tabSelected="1" workbookViewId="0">
      <selection activeCell="L36" sqref="L36"/>
    </sheetView>
  </sheetViews>
  <sheetFormatPr defaultRowHeight="12.5" x14ac:dyDescent="0.25"/>
  <cols>
    <col min="3" max="3" width="34.1796875" customWidth="1"/>
    <col min="4" max="4" width="44.6328125" customWidth="1"/>
  </cols>
  <sheetData>
    <row r="2" spans="2:4" ht="17.5" x14ac:dyDescent="0.35">
      <c r="B2" s="268" t="s">
        <v>168</v>
      </c>
      <c r="C2" s="268"/>
      <c r="D2" s="268"/>
    </row>
    <row r="3" spans="2:4" ht="14" x14ac:dyDescent="0.3">
      <c r="B3" s="247"/>
      <c r="C3" s="247"/>
      <c r="D3" s="247"/>
    </row>
    <row r="4" spans="2:4" ht="14" x14ac:dyDescent="0.3">
      <c r="B4" s="269" t="s">
        <v>164</v>
      </c>
      <c r="C4" s="269"/>
      <c r="D4" s="144">
        <v>500000</v>
      </c>
    </row>
    <row r="5" spans="2:4" ht="14" x14ac:dyDescent="0.3">
      <c r="B5" s="247"/>
      <c r="C5" s="247"/>
      <c r="D5" s="247"/>
    </row>
    <row r="6" spans="2:4" ht="14" x14ac:dyDescent="0.3">
      <c r="B6" s="269" t="s">
        <v>29</v>
      </c>
      <c r="C6" s="269"/>
      <c r="D6" s="143">
        <v>0.12</v>
      </c>
    </row>
    <row r="7" spans="2:4" ht="14" x14ac:dyDescent="0.3">
      <c r="B7" s="247"/>
      <c r="C7" s="247"/>
      <c r="D7" s="247"/>
    </row>
    <row r="8" spans="2:4" ht="14" x14ac:dyDescent="0.3">
      <c r="B8" s="269" t="s">
        <v>57</v>
      </c>
      <c r="C8" s="269"/>
      <c r="D8" s="143">
        <v>0.3</v>
      </c>
    </row>
    <row r="9" spans="2:4" ht="14" x14ac:dyDescent="0.3">
      <c r="B9" s="247"/>
      <c r="C9" s="247"/>
      <c r="D9" s="247"/>
    </row>
    <row r="10" spans="2:4" ht="14" x14ac:dyDescent="0.3">
      <c r="B10" s="273" t="s">
        <v>166</v>
      </c>
      <c r="C10" s="273"/>
      <c r="D10" s="162">
        <f>D4*D6*D8</f>
        <v>18000</v>
      </c>
    </row>
    <row r="11" spans="2:4" x14ac:dyDescent="0.25">
      <c r="B11" s="131"/>
      <c r="C11" s="131"/>
    </row>
    <row r="12" spans="2:4" ht="14" x14ac:dyDescent="0.25">
      <c r="B12" s="273" t="s">
        <v>169</v>
      </c>
      <c r="C12" s="273"/>
      <c r="D12" s="125">
        <f>D4*D8</f>
        <v>150000</v>
      </c>
    </row>
    <row r="13" spans="2:4" x14ac:dyDescent="0.25">
      <c r="B13" s="146"/>
      <c r="C13" s="146"/>
      <c r="D13" s="142"/>
    </row>
    <row r="14" spans="2:4" ht="14" x14ac:dyDescent="0.25">
      <c r="D14" s="163" t="s">
        <v>213</v>
      </c>
    </row>
  </sheetData>
  <mergeCells count="10">
    <mergeCell ref="B8:C8"/>
    <mergeCell ref="B9:D9"/>
    <mergeCell ref="B10:C10"/>
    <mergeCell ref="B12:C12"/>
    <mergeCell ref="B2:D2"/>
    <mergeCell ref="B3:D3"/>
    <mergeCell ref="B4:C4"/>
    <mergeCell ref="B5:D5"/>
    <mergeCell ref="B6:C6"/>
    <mergeCell ref="B7: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189-BA3E-44ED-A713-DF4C68760626}">
  <dimension ref="B2:D24"/>
  <sheetViews>
    <sheetView tabSelected="1" zoomScale="77" workbookViewId="0">
      <selection activeCell="L36" sqref="L36"/>
    </sheetView>
  </sheetViews>
  <sheetFormatPr defaultRowHeight="12.5" x14ac:dyDescent="0.25"/>
  <cols>
    <col min="3" max="3" width="39.7265625" customWidth="1"/>
    <col min="4" max="4" width="50.453125" customWidth="1"/>
  </cols>
  <sheetData>
    <row r="2" spans="2:4" ht="17.5" x14ac:dyDescent="0.35">
      <c r="B2" s="268" t="s">
        <v>170</v>
      </c>
      <c r="C2" s="268"/>
      <c r="D2" s="268"/>
    </row>
    <row r="3" spans="2:4" ht="14" x14ac:dyDescent="0.3">
      <c r="B3" s="247"/>
      <c r="C3" s="247"/>
      <c r="D3" s="247"/>
    </row>
    <row r="4" spans="2:4" ht="14" x14ac:dyDescent="0.3">
      <c r="B4" s="269" t="s">
        <v>176</v>
      </c>
      <c r="C4" s="269"/>
      <c r="D4" s="144">
        <v>1000000000</v>
      </c>
    </row>
    <row r="5" spans="2:4" ht="14" x14ac:dyDescent="0.3">
      <c r="B5" s="247"/>
      <c r="C5" s="247"/>
      <c r="D5" s="247"/>
    </row>
    <row r="6" spans="2:4" ht="14" x14ac:dyDescent="0.3">
      <c r="B6" s="269" t="s">
        <v>175</v>
      </c>
      <c r="C6" s="269"/>
      <c r="D6" s="144">
        <v>400000000</v>
      </c>
    </row>
    <row r="7" spans="2:4" ht="14" x14ac:dyDescent="0.3">
      <c r="B7" s="247"/>
      <c r="C7" s="247"/>
      <c r="D7" s="247"/>
    </row>
    <row r="8" spans="2:4" ht="14" x14ac:dyDescent="0.3">
      <c r="B8" s="269" t="s">
        <v>177</v>
      </c>
      <c r="C8" s="269"/>
      <c r="D8" s="143">
        <v>0.3</v>
      </c>
    </row>
    <row r="9" spans="2:4" ht="14" x14ac:dyDescent="0.3">
      <c r="B9" s="247"/>
      <c r="C9" s="247"/>
      <c r="D9" s="247"/>
    </row>
    <row r="10" spans="2:4" ht="14" x14ac:dyDescent="0.3">
      <c r="B10" s="269" t="s">
        <v>178</v>
      </c>
      <c r="C10" s="269"/>
      <c r="D10" s="144">
        <v>10000000</v>
      </c>
    </row>
    <row r="11" spans="2:4" ht="14" x14ac:dyDescent="0.3">
      <c r="B11" s="150"/>
      <c r="C11" s="150"/>
      <c r="D11" s="151"/>
    </row>
    <row r="12" spans="2:4" ht="14" x14ac:dyDescent="0.3">
      <c r="B12" s="274" t="s">
        <v>179</v>
      </c>
      <c r="C12" s="275"/>
      <c r="D12" s="144">
        <v>100</v>
      </c>
    </row>
    <row r="13" spans="2:4" ht="14" x14ac:dyDescent="0.3">
      <c r="B13" s="150"/>
      <c r="C13" s="150"/>
      <c r="D13" s="151"/>
    </row>
    <row r="14" spans="2:4" ht="14" x14ac:dyDescent="0.25">
      <c r="B14" s="271" t="s">
        <v>169</v>
      </c>
      <c r="C14" s="271"/>
      <c r="D14" s="145">
        <f>D6*D8</f>
        <v>120000000</v>
      </c>
    </row>
    <row r="15" spans="2:4" x14ac:dyDescent="0.25">
      <c r="B15" s="131"/>
      <c r="C15" s="131"/>
    </row>
    <row r="16" spans="2:4" ht="14" x14ac:dyDescent="0.25">
      <c r="B16" s="271" t="s">
        <v>171</v>
      </c>
      <c r="C16" s="271"/>
      <c r="D16" s="145">
        <f>D4+D14</f>
        <v>1120000000</v>
      </c>
    </row>
    <row r="18" spans="2:4" ht="14" x14ac:dyDescent="0.25">
      <c r="B18" s="271" t="s">
        <v>172</v>
      </c>
      <c r="C18" s="271"/>
      <c r="D18" s="295">
        <f>D6/D12</f>
        <v>4000000</v>
      </c>
    </row>
    <row r="20" spans="2:4" ht="14" x14ac:dyDescent="0.25">
      <c r="B20" s="271" t="s">
        <v>173</v>
      </c>
      <c r="C20" s="271"/>
      <c r="D20" s="295">
        <f>D10-D18</f>
        <v>6000000</v>
      </c>
    </row>
    <row r="22" spans="2:4" ht="14" x14ac:dyDescent="0.25">
      <c r="B22" s="271" t="s">
        <v>174</v>
      </c>
      <c r="C22" s="271"/>
      <c r="D22" s="145">
        <f>(D16-D6)/D20</f>
        <v>120</v>
      </c>
    </row>
    <row r="24" spans="2:4" ht="14" x14ac:dyDescent="0.25">
      <c r="D24" s="141" t="s">
        <v>213</v>
      </c>
    </row>
  </sheetData>
  <mergeCells count="15">
    <mergeCell ref="B7:D7"/>
    <mergeCell ref="B2:D2"/>
    <mergeCell ref="B3:D3"/>
    <mergeCell ref="B4:C4"/>
    <mergeCell ref="B5:D5"/>
    <mergeCell ref="B6:C6"/>
    <mergeCell ref="B18:C18"/>
    <mergeCell ref="B20:C20"/>
    <mergeCell ref="B22:C22"/>
    <mergeCell ref="B8:C8"/>
    <mergeCell ref="B9:D9"/>
    <mergeCell ref="B10:C10"/>
    <mergeCell ref="B16:C16"/>
    <mergeCell ref="B12:C12"/>
    <mergeCell ref="B14:C1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C7A1-E60B-4D61-A953-D073D622AC6E}">
  <dimension ref="B2:D14"/>
  <sheetViews>
    <sheetView tabSelected="1" workbookViewId="0">
      <selection activeCell="L36" sqref="L36"/>
    </sheetView>
  </sheetViews>
  <sheetFormatPr defaultRowHeight="12.5" x14ac:dyDescent="0.25"/>
  <cols>
    <col min="3" max="3" width="30.26953125" customWidth="1"/>
    <col min="4" max="4" width="31.6328125" customWidth="1"/>
  </cols>
  <sheetData>
    <row r="2" spans="2:4" ht="17.5" x14ac:dyDescent="0.35">
      <c r="B2" s="268" t="s">
        <v>180</v>
      </c>
      <c r="C2" s="268"/>
      <c r="D2" s="268"/>
    </row>
    <row r="3" spans="2:4" ht="14" x14ac:dyDescent="0.3">
      <c r="B3" s="247"/>
      <c r="C3" s="247"/>
      <c r="D3" s="247"/>
    </row>
    <row r="4" spans="2:4" ht="14" x14ac:dyDescent="0.3">
      <c r="B4" s="276" t="s">
        <v>181</v>
      </c>
      <c r="C4" s="276"/>
      <c r="D4" s="164">
        <v>0.3</v>
      </c>
    </row>
    <row r="5" spans="2:4" ht="14" x14ac:dyDescent="0.3">
      <c r="B5" s="247"/>
      <c r="C5" s="247"/>
      <c r="D5" s="247"/>
    </row>
    <row r="6" spans="2:4" ht="14" x14ac:dyDescent="0.3">
      <c r="B6" s="276" t="s">
        <v>182</v>
      </c>
      <c r="C6" s="276"/>
      <c r="D6" s="164">
        <v>0.35</v>
      </c>
    </row>
    <row r="7" spans="2:4" ht="14" x14ac:dyDescent="0.3">
      <c r="B7" s="247"/>
      <c r="C7" s="247"/>
      <c r="D7" s="247"/>
    </row>
    <row r="8" spans="2:4" ht="14" x14ac:dyDescent="0.3">
      <c r="B8" s="276" t="s">
        <v>183</v>
      </c>
      <c r="C8" s="276"/>
      <c r="D8" s="164">
        <v>0.1</v>
      </c>
    </row>
    <row r="9" spans="2:4" ht="14" x14ac:dyDescent="0.3">
      <c r="B9" s="247"/>
      <c r="C9" s="247"/>
      <c r="D9" s="247"/>
    </row>
    <row r="10" spans="2:4" ht="14" x14ac:dyDescent="0.3">
      <c r="B10" s="292" t="s">
        <v>184</v>
      </c>
      <c r="C10" s="292"/>
      <c r="D10" s="293">
        <f>(1-D8)-(1-D4)*(1-D6)</f>
        <v>0.44500000000000006</v>
      </c>
    </row>
    <row r="11" spans="2:4" x14ac:dyDescent="0.25">
      <c r="B11" s="131"/>
      <c r="C11" s="131"/>
    </row>
    <row r="12" spans="2:4" ht="14" x14ac:dyDescent="0.3">
      <c r="B12" s="292" t="s">
        <v>184</v>
      </c>
      <c r="C12" s="292"/>
      <c r="D12" s="294">
        <f>(1-D8)-(1-D4)*(1-D6)</f>
        <v>0.44500000000000006</v>
      </c>
    </row>
    <row r="14" spans="2:4" ht="14" x14ac:dyDescent="0.25">
      <c r="D14" s="291" t="s">
        <v>213</v>
      </c>
    </row>
  </sheetData>
  <mergeCells count="10">
    <mergeCell ref="B12:C12"/>
    <mergeCell ref="B8:C8"/>
    <mergeCell ref="B9:D9"/>
    <mergeCell ref="B10:C10"/>
    <mergeCell ref="B2:D2"/>
    <mergeCell ref="B3:D3"/>
    <mergeCell ref="B4:C4"/>
    <mergeCell ref="B5:D5"/>
    <mergeCell ref="B6:C6"/>
    <mergeCell ref="B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FC02-1538-47CD-87C5-C25BE247C434}">
  <dimension ref="B2:G20"/>
  <sheetViews>
    <sheetView tabSelected="1" workbookViewId="0">
      <selection activeCell="L36" sqref="L36"/>
    </sheetView>
  </sheetViews>
  <sheetFormatPr defaultRowHeight="12.5" x14ac:dyDescent="0.25"/>
  <cols>
    <col min="3" max="3" width="40.54296875" customWidth="1"/>
    <col min="4" max="4" width="49.08984375" customWidth="1"/>
  </cols>
  <sheetData>
    <row r="2" spans="2:7" ht="17.5" x14ac:dyDescent="0.35">
      <c r="B2" s="268" t="s">
        <v>185</v>
      </c>
      <c r="C2" s="268"/>
      <c r="D2" s="268"/>
    </row>
    <row r="3" spans="2:7" ht="14" x14ac:dyDescent="0.3">
      <c r="B3" s="247"/>
      <c r="C3" s="247"/>
      <c r="D3" s="247"/>
    </row>
    <row r="4" spans="2:7" ht="14" x14ac:dyDescent="0.3">
      <c r="B4" s="278" t="s">
        <v>186</v>
      </c>
      <c r="C4" s="278"/>
      <c r="D4" s="152">
        <v>100</v>
      </c>
    </row>
    <row r="5" spans="2:7" ht="14" x14ac:dyDescent="0.3">
      <c r="B5" s="247"/>
      <c r="C5" s="247"/>
      <c r="D5" s="247"/>
    </row>
    <row r="6" spans="2:7" ht="14" x14ac:dyDescent="0.3">
      <c r="B6" s="278" t="s">
        <v>187</v>
      </c>
      <c r="C6" s="278"/>
      <c r="D6" s="152">
        <v>50</v>
      </c>
    </row>
    <row r="7" spans="2:7" ht="14" x14ac:dyDescent="0.3">
      <c r="B7" s="247"/>
      <c r="C7" s="247"/>
      <c r="D7" s="247"/>
    </row>
    <row r="8" spans="2:7" ht="14" x14ac:dyDescent="0.3">
      <c r="B8" s="278" t="s">
        <v>188</v>
      </c>
      <c r="C8" s="278"/>
      <c r="D8" s="137">
        <v>0.3</v>
      </c>
      <c r="G8" s="153"/>
    </row>
    <row r="9" spans="2:7" ht="14" x14ac:dyDescent="0.3">
      <c r="B9" s="247"/>
      <c r="C9" s="247"/>
      <c r="D9" s="247"/>
    </row>
    <row r="10" spans="2:7" ht="14" x14ac:dyDescent="0.3">
      <c r="B10" s="278" t="s">
        <v>189</v>
      </c>
      <c r="C10" s="278"/>
      <c r="D10" s="137">
        <v>0.05</v>
      </c>
    </row>
    <row r="11" spans="2:7" ht="14" x14ac:dyDescent="0.3">
      <c r="B11" s="150"/>
      <c r="C11" s="150"/>
      <c r="D11" s="151"/>
    </row>
    <row r="12" spans="2:7" ht="14" x14ac:dyDescent="0.3">
      <c r="B12" s="279" t="s">
        <v>190</v>
      </c>
      <c r="C12" s="280"/>
      <c r="D12" s="152">
        <v>20</v>
      </c>
    </row>
    <row r="13" spans="2:7" ht="14" x14ac:dyDescent="0.3">
      <c r="B13" s="150"/>
      <c r="C13" s="150"/>
      <c r="D13" s="151"/>
    </row>
    <row r="14" spans="2:7" ht="14" x14ac:dyDescent="0.25">
      <c r="B14" s="277" t="s">
        <v>166</v>
      </c>
      <c r="C14" s="277"/>
      <c r="D14" s="154">
        <f>D6*D8</f>
        <v>15</v>
      </c>
    </row>
    <row r="15" spans="2:7" x14ac:dyDescent="0.25">
      <c r="B15" s="131"/>
      <c r="C15" s="131"/>
    </row>
    <row r="16" spans="2:7" ht="14" x14ac:dyDescent="0.25">
      <c r="B16" s="277" t="s">
        <v>191</v>
      </c>
      <c r="C16" s="277"/>
      <c r="D16" s="154">
        <f>D10*D12</f>
        <v>1</v>
      </c>
    </row>
    <row r="18" spans="2:4" ht="14" x14ac:dyDescent="0.25">
      <c r="B18" s="277" t="s">
        <v>192</v>
      </c>
      <c r="C18" s="277"/>
      <c r="D18" s="154">
        <f>D4 + D14 - D16</f>
        <v>114</v>
      </c>
    </row>
    <row r="20" spans="2:4" ht="14" x14ac:dyDescent="0.25">
      <c r="D20" s="281" t="s">
        <v>215</v>
      </c>
    </row>
  </sheetData>
  <mergeCells count="13">
    <mergeCell ref="B7:D7"/>
    <mergeCell ref="B2:D2"/>
    <mergeCell ref="B3:D3"/>
    <mergeCell ref="B4:C4"/>
    <mergeCell ref="B5:D5"/>
    <mergeCell ref="B6:C6"/>
    <mergeCell ref="B18:C18"/>
    <mergeCell ref="B8:C8"/>
    <mergeCell ref="B9:D9"/>
    <mergeCell ref="B10:C10"/>
    <mergeCell ref="B12:C12"/>
    <mergeCell ref="B14:C14"/>
    <mergeCell ref="B16:C1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4A6C-600E-45FC-8FF7-6224566AED5E}">
  <dimension ref="B2:D20"/>
  <sheetViews>
    <sheetView tabSelected="1" workbookViewId="0">
      <selection activeCell="L36" sqref="L36"/>
    </sheetView>
  </sheetViews>
  <sheetFormatPr defaultRowHeight="12.5" x14ac:dyDescent="0.25"/>
  <cols>
    <col min="3" max="3" width="32.81640625" customWidth="1"/>
    <col min="4" max="4" width="53.1796875" customWidth="1"/>
  </cols>
  <sheetData>
    <row r="2" spans="2:4" ht="17.5" x14ac:dyDescent="0.35">
      <c r="B2" s="268" t="s">
        <v>193</v>
      </c>
      <c r="C2" s="268"/>
      <c r="D2" s="268"/>
    </row>
    <row r="3" spans="2:4" ht="14" x14ac:dyDescent="0.3">
      <c r="B3" s="247"/>
      <c r="C3" s="247"/>
      <c r="D3" s="247"/>
    </row>
    <row r="4" spans="2:4" ht="14" x14ac:dyDescent="0.3">
      <c r="B4" s="278" t="s">
        <v>186</v>
      </c>
      <c r="C4" s="278"/>
      <c r="D4" s="152">
        <v>100</v>
      </c>
    </row>
    <row r="5" spans="2:4" ht="14" x14ac:dyDescent="0.3">
      <c r="B5" s="247"/>
      <c r="C5" s="247"/>
      <c r="D5" s="247"/>
    </row>
    <row r="6" spans="2:4" ht="14" x14ac:dyDescent="0.3">
      <c r="B6" s="278" t="s">
        <v>187</v>
      </c>
      <c r="C6" s="278"/>
      <c r="D6" s="152">
        <v>50</v>
      </c>
    </row>
    <row r="7" spans="2:4" ht="14" x14ac:dyDescent="0.3">
      <c r="B7" s="247"/>
      <c r="C7" s="247"/>
      <c r="D7" s="247"/>
    </row>
    <row r="8" spans="2:4" ht="14" x14ac:dyDescent="0.3">
      <c r="B8" s="278" t="s">
        <v>188</v>
      </c>
      <c r="C8" s="278"/>
      <c r="D8" s="137">
        <v>0.3</v>
      </c>
    </row>
    <row r="9" spans="2:4" ht="14" x14ac:dyDescent="0.3">
      <c r="B9" s="247"/>
      <c r="C9" s="247"/>
      <c r="D9" s="247"/>
    </row>
    <row r="10" spans="2:4" ht="14" x14ac:dyDescent="0.3">
      <c r="B10" s="278" t="s">
        <v>189</v>
      </c>
      <c r="C10" s="278"/>
      <c r="D10" s="137">
        <v>0.05</v>
      </c>
    </row>
    <row r="11" spans="2:4" ht="14" x14ac:dyDescent="0.3">
      <c r="B11" s="150"/>
      <c r="C11" s="150"/>
      <c r="D11" s="151"/>
    </row>
    <row r="12" spans="2:4" ht="14" x14ac:dyDescent="0.3">
      <c r="B12" s="279" t="s">
        <v>190</v>
      </c>
      <c r="C12" s="280"/>
      <c r="D12" s="152">
        <v>20</v>
      </c>
    </row>
    <row r="13" spans="2:4" ht="14" x14ac:dyDescent="0.3">
      <c r="B13" s="150"/>
      <c r="C13" s="150"/>
      <c r="D13" s="151"/>
    </row>
    <row r="14" spans="2:4" ht="14" x14ac:dyDescent="0.25">
      <c r="B14" s="277" t="s">
        <v>166</v>
      </c>
      <c r="C14" s="277"/>
      <c r="D14" s="154">
        <f>D6*D8</f>
        <v>15</v>
      </c>
    </row>
    <row r="15" spans="2:4" x14ac:dyDescent="0.25">
      <c r="B15" s="131"/>
      <c r="C15" s="131"/>
    </row>
    <row r="16" spans="2:4" ht="14" x14ac:dyDescent="0.25">
      <c r="B16" s="277" t="s">
        <v>191</v>
      </c>
      <c r="C16" s="277"/>
      <c r="D16" s="154">
        <f>D10*D12</f>
        <v>1</v>
      </c>
    </row>
    <row r="18" spans="2:4" ht="14" x14ac:dyDescent="0.25">
      <c r="B18" s="277" t="s">
        <v>192</v>
      </c>
      <c r="C18" s="277"/>
      <c r="D18" s="154">
        <f>D4 + D14 - D16</f>
        <v>114</v>
      </c>
    </row>
    <row r="20" spans="2:4" ht="14" x14ac:dyDescent="0.25">
      <c r="D20" s="281" t="s">
        <v>215</v>
      </c>
    </row>
  </sheetData>
  <mergeCells count="13">
    <mergeCell ref="B7:D7"/>
    <mergeCell ref="B2:D2"/>
    <mergeCell ref="B3:D3"/>
    <mergeCell ref="B4:C4"/>
    <mergeCell ref="B5:D5"/>
    <mergeCell ref="B6:C6"/>
    <mergeCell ref="B18:C18"/>
    <mergeCell ref="B8:C8"/>
    <mergeCell ref="B9:D9"/>
    <mergeCell ref="B10:C10"/>
    <mergeCell ref="B12:C12"/>
    <mergeCell ref="B14:C14"/>
    <mergeCell ref="B16:C1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6959-61E5-4B07-AE72-E8B009DDB463}">
  <dimension ref="B8:D30"/>
  <sheetViews>
    <sheetView tabSelected="1" topLeftCell="A4" workbookViewId="0">
      <selection activeCell="L36" sqref="L36"/>
    </sheetView>
  </sheetViews>
  <sheetFormatPr defaultRowHeight="12.5" x14ac:dyDescent="0.25"/>
  <cols>
    <col min="3" max="3" width="36.26953125" customWidth="1"/>
    <col min="4" max="4" width="44" customWidth="1"/>
  </cols>
  <sheetData>
    <row r="8" spans="2:4" ht="17.5" x14ac:dyDescent="0.35">
      <c r="B8" s="268" t="s">
        <v>193</v>
      </c>
      <c r="C8" s="268"/>
      <c r="D8" s="268"/>
    </row>
    <row r="9" spans="2:4" ht="14" x14ac:dyDescent="0.3">
      <c r="B9" s="247"/>
      <c r="C9" s="247"/>
      <c r="D9" s="247"/>
    </row>
    <row r="10" spans="2:4" ht="14" x14ac:dyDescent="0.3">
      <c r="B10" s="278" t="s">
        <v>186</v>
      </c>
      <c r="C10" s="278"/>
      <c r="D10" s="152">
        <v>200</v>
      </c>
    </row>
    <row r="11" spans="2:4" ht="14" x14ac:dyDescent="0.3">
      <c r="B11" s="247"/>
      <c r="C11" s="247"/>
      <c r="D11" s="247"/>
    </row>
    <row r="12" spans="2:4" ht="14" x14ac:dyDescent="0.3">
      <c r="B12" s="278" t="s">
        <v>187</v>
      </c>
      <c r="C12" s="278"/>
      <c r="D12" s="152">
        <v>80</v>
      </c>
    </row>
    <row r="13" spans="2:4" ht="14" x14ac:dyDescent="0.3">
      <c r="B13" s="247"/>
      <c r="C13" s="247"/>
      <c r="D13" s="247"/>
    </row>
    <row r="14" spans="2:4" ht="14" x14ac:dyDescent="0.3">
      <c r="B14" s="278" t="s">
        <v>188</v>
      </c>
      <c r="C14" s="278"/>
      <c r="D14" s="137">
        <v>0.3</v>
      </c>
    </row>
    <row r="15" spans="2:4" ht="14" x14ac:dyDescent="0.3">
      <c r="B15" s="150"/>
      <c r="C15" s="150"/>
      <c r="D15" s="111"/>
    </row>
    <row r="16" spans="2:4" ht="14" x14ac:dyDescent="0.3">
      <c r="B16" s="278" t="s">
        <v>194</v>
      </c>
      <c r="C16" s="278"/>
      <c r="D16" s="137">
        <v>0.1</v>
      </c>
    </row>
    <row r="17" spans="2:4" ht="14" x14ac:dyDescent="0.3">
      <c r="B17" s="247"/>
      <c r="C17" s="247"/>
      <c r="D17" s="247"/>
    </row>
    <row r="18" spans="2:4" ht="14" x14ac:dyDescent="0.3">
      <c r="B18" s="278" t="s">
        <v>189</v>
      </c>
      <c r="C18" s="278"/>
      <c r="D18" s="137">
        <v>0.2</v>
      </c>
    </row>
    <row r="19" spans="2:4" ht="14" x14ac:dyDescent="0.3">
      <c r="B19" s="150"/>
      <c r="C19" s="150"/>
      <c r="D19" s="151"/>
    </row>
    <row r="20" spans="2:4" ht="14" x14ac:dyDescent="0.3">
      <c r="B20" s="279" t="s">
        <v>190</v>
      </c>
      <c r="C20" s="280"/>
      <c r="D20" s="152">
        <v>50</v>
      </c>
    </row>
    <row r="21" spans="2:4" ht="14" x14ac:dyDescent="0.3">
      <c r="B21" s="150"/>
      <c r="C21" s="150"/>
      <c r="D21" s="151"/>
    </row>
    <row r="22" spans="2:4" ht="14" x14ac:dyDescent="0.25">
      <c r="B22" s="277" t="s">
        <v>166</v>
      </c>
      <c r="C22" s="277"/>
      <c r="D22" s="154">
        <f>D12*D14</f>
        <v>24</v>
      </c>
    </row>
    <row r="23" spans="2:4" x14ac:dyDescent="0.25">
      <c r="B23" s="131"/>
      <c r="C23" s="131"/>
    </row>
    <row r="24" spans="2:4" ht="14" x14ac:dyDescent="0.25">
      <c r="B24" s="277" t="s">
        <v>191</v>
      </c>
      <c r="C24" s="277"/>
      <c r="D24" s="154">
        <f>D18*D20</f>
        <v>10</v>
      </c>
    </row>
    <row r="26" spans="2:4" ht="14" x14ac:dyDescent="0.25">
      <c r="B26" s="277" t="s">
        <v>192</v>
      </c>
      <c r="C26" s="277"/>
      <c r="D26" s="154">
        <f>D10 + D22 - D24</f>
        <v>214</v>
      </c>
    </row>
    <row r="28" spans="2:4" ht="14" x14ac:dyDescent="0.25">
      <c r="B28" s="277" t="s">
        <v>195</v>
      </c>
      <c r="C28" s="277"/>
      <c r="D28" s="154">
        <f>D26-D10</f>
        <v>14</v>
      </c>
    </row>
    <row r="30" spans="2:4" ht="14" x14ac:dyDescent="0.3">
      <c r="D30" s="165" t="s">
        <v>216</v>
      </c>
    </row>
  </sheetData>
  <mergeCells count="15">
    <mergeCell ref="B13:D13"/>
    <mergeCell ref="B8:D8"/>
    <mergeCell ref="B9:D9"/>
    <mergeCell ref="B10:C10"/>
    <mergeCell ref="B11:D11"/>
    <mergeCell ref="B12:C12"/>
    <mergeCell ref="B26:C26"/>
    <mergeCell ref="B16:C16"/>
    <mergeCell ref="B28:C28"/>
    <mergeCell ref="B14:C14"/>
    <mergeCell ref="B17:D17"/>
    <mergeCell ref="B18:C18"/>
    <mergeCell ref="B20:C20"/>
    <mergeCell ref="B22:C22"/>
    <mergeCell ref="B24:C2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FC33-03BF-4E63-A2A8-81EC57C36EA3}">
  <dimension ref="B2:D22"/>
  <sheetViews>
    <sheetView tabSelected="1" workbookViewId="0">
      <selection activeCell="L36" sqref="L36"/>
    </sheetView>
  </sheetViews>
  <sheetFormatPr defaultRowHeight="12.5" x14ac:dyDescent="0.25"/>
  <cols>
    <col min="3" max="3" width="38.6328125" customWidth="1"/>
    <col min="4" max="4" width="20.7265625" customWidth="1"/>
  </cols>
  <sheetData>
    <row r="2" spans="2:4" ht="17.5" x14ac:dyDescent="0.35">
      <c r="B2" s="268" t="s">
        <v>196</v>
      </c>
      <c r="C2" s="268"/>
      <c r="D2" s="268"/>
    </row>
    <row r="3" spans="2:4" ht="14" x14ac:dyDescent="0.3">
      <c r="B3" s="247"/>
      <c r="C3" s="247"/>
      <c r="D3" s="247"/>
    </row>
    <row r="4" spans="2:4" ht="14" x14ac:dyDescent="0.3">
      <c r="B4" s="278" t="s">
        <v>186</v>
      </c>
      <c r="C4" s="278"/>
      <c r="D4" s="152">
        <v>500</v>
      </c>
    </row>
    <row r="5" spans="2:4" ht="14" x14ac:dyDescent="0.3">
      <c r="B5" s="247"/>
      <c r="C5" s="247"/>
      <c r="D5" s="247"/>
    </row>
    <row r="6" spans="2:4" ht="14" x14ac:dyDescent="0.3">
      <c r="B6" s="278" t="s">
        <v>187</v>
      </c>
      <c r="C6" s="278"/>
      <c r="D6" s="152">
        <v>100</v>
      </c>
    </row>
    <row r="7" spans="2:4" ht="14" x14ac:dyDescent="0.3">
      <c r="B7" s="247"/>
      <c r="C7" s="247"/>
      <c r="D7" s="247"/>
    </row>
    <row r="8" spans="2:4" ht="14" x14ac:dyDescent="0.3">
      <c r="B8" s="278" t="s">
        <v>188</v>
      </c>
      <c r="C8" s="278"/>
      <c r="D8" s="137">
        <v>0.3</v>
      </c>
    </row>
    <row r="9" spans="2:4" ht="14" x14ac:dyDescent="0.3">
      <c r="B9" s="247"/>
      <c r="C9" s="247"/>
      <c r="D9" s="247"/>
    </row>
    <row r="10" spans="2:4" ht="14" x14ac:dyDescent="0.3">
      <c r="B10" s="278" t="s">
        <v>189</v>
      </c>
      <c r="C10" s="278"/>
      <c r="D10" s="137">
        <v>0.05</v>
      </c>
    </row>
    <row r="11" spans="2:4" ht="14" x14ac:dyDescent="0.3">
      <c r="B11" s="150"/>
      <c r="C11" s="150"/>
      <c r="D11" s="151"/>
    </row>
    <row r="12" spans="2:4" ht="14" x14ac:dyDescent="0.3">
      <c r="B12" s="279" t="s">
        <v>190</v>
      </c>
      <c r="C12" s="280"/>
      <c r="D12" s="152">
        <v>150</v>
      </c>
    </row>
    <row r="13" spans="2:4" ht="14" x14ac:dyDescent="0.3">
      <c r="B13" s="150"/>
      <c r="C13" s="150"/>
      <c r="D13" s="151"/>
    </row>
    <row r="14" spans="2:4" ht="14" x14ac:dyDescent="0.25">
      <c r="B14" s="277" t="s">
        <v>166</v>
      </c>
      <c r="C14" s="277"/>
      <c r="D14" s="154">
        <f>D6*D8</f>
        <v>30</v>
      </c>
    </row>
    <row r="15" spans="2:4" x14ac:dyDescent="0.25">
      <c r="B15" s="131"/>
      <c r="C15" s="131"/>
    </row>
    <row r="16" spans="2:4" ht="14" x14ac:dyDescent="0.25">
      <c r="B16" s="277" t="s">
        <v>191</v>
      </c>
      <c r="C16" s="277"/>
      <c r="D16" s="154">
        <f>D10*D12</f>
        <v>7.5</v>
      </c>
    </row>
    <row r="18" spans="2:4" ht="14" x14ac:dyDescent="0.25">
      <c r="B18" s="277" t="s">
        <v>192</v>
      </c>
      <c r="C18" s="277"/>
      <c r="D18" s="154">
        <f>D4 + D14 - D16</f>
        <v>522.5</v>
      </c>
    </row>
    <row r="20" spans="2:4" ht="14" x14ac:dyDescent="0.25">
      <c r="B20" s="277" t="s">
        <v>195</v>
      </c>
      <c r="C20" s="277"/>
      <c r="D20" s="154">
        <f>D18-D4</f>
        <v>22.5</v>
      </c>
    </row>
    <row r="22" spans="2:4" ht="14" x14ac:dyDescent="0.3">
      <c r="D22" s="165" t="s">
        <v>216</v>
      </c>
    </row>
  </sheetData>
  <mergeCells count="14">
    <mergeCell ref="B7:D7"/>
    <mergeCell ref="B2:D2"/>
    <mergeCell ref="B3:D3"/>
    <mergeCell ref="B4:C4"/>
    <mergeCell ref="B5:D5"/>
    <mergeCell ref="B6:C6"/>
    <mergeCell ref="B18:C18"/>
    <mergeCell ref="B20:C20"/>
    <mergeCell ref="B8:C8"/>
    <mergeCell ref="B9:D9"/>
    <mergeCell ref="B10:C10"/>
    <mergeCell ref="B12:C12"/>
    <mergeCell ref="B14:C14"/>
    <mergeCell ref="B16:C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174A-3BB2-4F1A-A4DE-190C57375BD5}">
  <dimension ref="B2:E14"/>
  <sheetViews>
    <sheetView tabSelected="1" workbookViewId="0">
      <selection activeCell="L36" sqref="L36"/>
    </sheetView>
  </sheetViews>
  <sheetFormatPr defaultRowHeight="14" x14ac:dyDescent="0.3"/>
  <cols>
    <col min="1" max="1" width="8.7265625" style="1"/>
    <col min="2" max="2" width="23.36328125" style="1" bestFit="1" customWidth="1"/>
    <col min="3" max="3" width="13.36328125" style="1" customWidth="1"/>
    <col min="4" max="4" width="15.36328125" style="1" bestFit="1" customWidth="1"/>
    <col min="5" max="16384" width="8.7265625" style="1"/>
  </cols>
  <sheetData>
    <row r="2" spans="2:5" ht="15" x14ac:dyDescent="0.3">
      <c r="B2" s="262" t="s">
        <v>197</v>
      </c>
      <c r="C2" s="262"/>
      <c r="D2" s="262"/>
    </row>
    <row r="4" spans="2:5" x14ac:dyDescent="0.3">
      <c r="B4" s="282" t="s">
        <v>9</v>
      </c>
      <c r="C4" s="282" t="s">
        <v>198</v>
      </c>
      <c r="D4" s="282" t="s">
        <v>199</v>
      </c>
    </row>
    <row r="5" spans="2:5" x14ac:dyDescent="0.3">
      <c r="B5" s="126">
        <v>1</v>
      </c>
      <c r="C5" s="156">
        <v>0.12</v>
      </c>
      <c r="D5" s="156">
        <v>0.06</v>
      </c>
    </row>
    <row r="6" spans="2:5" x14ac:dyDescent="0.3">
      <c r="B6" s="126">
        <v>2</v>
      </c>
      <c r="C6" s="156">
        <v>-0.08</v>
      </c>
      <c r="D6" s="156">
        <v>0.06</v>
      </c>
    </row>
    <row r="7" spans="2:5" x14ac:dyDescent="0.3">
      <c r="B7" s="126">
        <v>3</v>
      </c>
      <c r="C7" s="156">
        <v>0.15</v>
      </c>
      <c r="D7" s="156">
        <v>0.05</v>
      </c>
    </row>
    <row r="8" spans="2:5" x14ac:dyDescent="0.3">
      <c r="B8" s="126">
        <v>4</v>
      </c>
      <c r="C8" s="156">
        <v>0.1</v>
      </c>
      <c r="D8" s="156">
        <v>0.05</v>
      </c>
    </row>
    <row r="10" spans="2:5" x14ac:dyDescent="0.3">
      <c r="B10" s="283" t="s">
        <v>200</v>
      </c>
      <c r="C10" s="141">
        <f>AVERAGE(C5:C8)</f>
        <v>7.2500000000000009E-2</v>
      </c>
      <c r="D10" s="141">
        <f>AVERAGE(D5:D8)</f>
        <v>5.4999999999999993E-2</v>
      </c>
    </row>
    <row r="12" spans="2:5" x14ac:dyDescent="0.3">
      <c r="B12" s="283" t="s">
        <v>201</v>
      </c>
      <c r="C12" s="141">
        <f>_xlfn.STDEV.S(C5:C8)</f>
        <v>0.10372238588334406</v>
      </c>
      <c r="D12" s="141">
        <f>_xlfn.STDEV.S(D5:D8)</f>
        <v>5.7735026918962545E-3</v>
      </c>
    </row>
    <row r="14" spans="2:5" x14ac:dyDescent="0.3">
      <c r="D14" s="289" t="s">
        <v>216</v>
      </c>
      <c r="E14" s="290"/>
    </row>
  </sheetData>
  <mergeCells count="1">
    <mergeCell ref="B2:D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87C0-FB35-45CC-8B4E-D81B53B0009F}">
  <dimension ref="B2:D36"/>
  <sheetViews>
    <sheetView tabSelected="1" zoomScale="85" zoomScaleNormal="85" workbookViewId="0">
      <selection activeCell="L36" sqref="L36"/>
    </sheetView>
  </sheetViews>
  <sheetFormatPr defaultRowHeight="14" x14ac:dyDescent="0.3"/>
  <cols>
    <col min="1" max="1" width="8.7265625" style="1"/>
    <col min="2" max="2" width="34" style="1" bestFit="1" customWidth="1"/>
    <col min="3" max="3" width="12.453125" style="1" customWidth="1"/>
    <col min="4" max="4" width="12.1796875" style="1" customWidth="1"/>
    <col min="5" max="16384" width="8.7265625" style="1"/>
  </cols>
  <sheetData>
    <row r="2" spans="2:4" ht="17.5" x14ac:dyDescent="0.35">
      <c r="B2" s="268" t="s">
        <v>202</v>
      </c>
      <c r="C2" s="268"/>
      <c r="D2" s="268"/>
    </row>
    <row r="3" spans="2:4" x14ac:dyDescent="0.3">
      <c r="B3" s="5"/>
      <c r="C3" s="5"/>
      <c r="D3" s="5"/>
    </row>
    <row r="4" spans="2:4" x14ac:dyDescent="0.3">
      <c r="B4" s="157" t="s">
        <v>9</v>
      </c>
      <c r="C4" s="158" t="s">
        <v>198</v>
      </c>
      <c r="D4" s="158" t="s">
        <v>199</v>
      </c>
    </row>
    <row r="5" spans="2:4" x14ac:dyDescent="0.3">
      <c r="B5" s="5"/>
      <c r="C5" s="155"/>
      <c r="D5" s="155"/>
    </row>
    <row r="6" spans="2:4" x14ac:dyDescent="0.3">
      <c r="B6" s="126">
        <v>1</v>
      </c>
      <c r="C6" s="156">
        <v>0.12</v>
      </c>
      <c r="D6" s="156">
        <v>0.06</v>
      </c>
    </row>
    <row r="7" spans="2:4" x14ac:dyDescent="0.3">
      <c r="B7" s="5"/>
      <c r="C7" s="155"/>
      <c r="D7" s="155"/>
    </row>
    <row r="8" spans="2:4" x14ac:dyDescent="0.3">
      <c r="B8" s="126">
        <v>2</v>
      </c>
      <c r="C8" s="156">
        <v>0.05</v>
      </c>
      <c r="D8" s="156">
        <v>0.06</v>
      </c>
    </row>
    <row r="9" spans="2:4" x14ac:dyDescent="0.3">
      <c r="B9" s="5"/>
      <c r="C9" s="5"/>
      <c r="D9" s="5"/>
    </row>
    <row r="10" spans="2:4" x14ac:dyDescent="0.3">
      <c r="B10" s="126">
        <v>3</v>
      </c>
      <c r="C10" s="156">
        <v>0.1</v>
      </c>
      <c r="D10" s="156">
        <v>0.05</v>
      </c>
    </row>
    <row r="11" spans="2:4" x14ac:dyDescent="0.3">
      <c r="B11" s="5"/>
      <c r="C11" s="5"/>
      <c r="D11" s="5"/>
    </row>
    <row r="12" spans="2:4" x14ac:dyDescent="0.3">
      <c r="B12" s="126">
        <v>4</v>
      </c>
      <c r="C12" s="156">
        <v>0.08</v>
      </c>
      <c r="D12" s="156">
        <v>0.05</v>
      </c>
    </row>
    <row r="14" spans="2:4" x14ac:dyDescent="0.3">
      <c r="B14" s="283" t="s">
        <v>203</v>
      </c>
      <c r="C14" s="130">
        <f>AVERAGE(C6:C12)</f>
        <v>8.7500000000000008E-2</v>
      </c>
      <c r="D14" s="130">
        <f>AVERAGE(D6:D12)</f>
        <v>5.4999999999999993E-2</v>
      </c>
    </row>
    <row r="15" spans="2:4" x14ac:dyDescent="0.3">
      <c r="C15" s="118"/>
      <c r="D15" s="118"/>
    </row>
    <row r="16" spans="2:4" x14ac:dyDescent="0.3">
      <c r="B16" s="283" t="s">
        <v>201</v>
      </c>
      <c r="C16" s="130">
        <f>_xlfn.STDEV.S(C6:C12)</f>
        <v>2.9860788111948179E-2</v>
      </c>
      <c r="D16" s="130">
        <f>_xlfn.STDEV.S(D6:D12)</f>
        <v>5.7735026918962545E-3</v>
      </c>
    </row>
    <row r="17" spans="2:4" x14ac:dyDescent="0.3">
      <c r="C17" s="118"/>
      <c r="D17" s="118"/>
    </row>
    <row r="18" spans="2:4" x14ac:dyDescent="0.3">
      <c r="B18" s="283" t="s">
        <v>204</v>
      </c>
      <c r="C18" s="130">
        <f>GEOMEAN(C6,C8,C10,C12)</f>
        <v>8.3235829005756351E-2</v>
      </c>
      <c r="D18" s="130">
        <f>GEOMEAN(D6,D8,D10,D12)</f>
        <v>5.4772255750516613E-2</v>
      </c>
    </row>
    <row r="19" spans="2:4" x14ac:dyDescent="0.3">
      <c r="C19" s="118"/>
      <c r="D19" s="118"/>
    </row>
    <row r="20" spans="2:4" x14ac:dyDescent="0.3">
      <c r="B20" s="283" t="s">
        <v>205</v>
      </c>
      <c r="C20" s="130">
        <f>_xlfn.VAR.S(C6,C8,C10,C12)</f>
        <v>8.9166666666666561E-4</v>
      </c>
      <c r="D20" s="285">
        <f>_xlfn.VAR.S(D6,D8,D10,D12)</f>
        <v>3.3333333333333301E-5</v>
      </c>
    </row>
    <row r="21" spans="2:4" x14ac:dyDescent="0.3">
      <c r="C21" s="118"/>
      <c r="D21" s="118"/>
    </row>
    <row r="22" spans="2:4" x14ac:dyDescent="0.3">
      <c r="B22" s="283" t="s">
        <v>206</v>
      </c>
      <c r="C22" s="130">
        <f>C16/C14</f>
        <v>0.34126614985083631</v>
      </c>
      <c r="D22" s="130">
        <f>D16/D14</f>
        <v>0.10497277621629555</v>
      </c>
    </row>
    <row r="23" spans="2:4" x14ac:dyDescent="0.3">
      <c r="C23" s="118"/>
      <c r="D23" s="118"/>
    </row>
    <row r="24" spans="2:4" x14ac:dyDescent="0.3">
      <c r="B24" s="283" t="s">
        <v>207</v>
      </c>
      <c r="C24" s="286">
        <f>_xlfn.COVARIANCE.S(C6:C12,D6:D12)</f>
        <v>-1.6666666666666674E-5</v>
      </c>
      <c r="D24" s="286"/>
    </row>
    <row r="25" spans="2:4" x14ac:dyDescent="0.3">
      <c r="C25" s="118"/>
      <c r="D25" s="118"/>
    </row>
    <row r="26" spans="2:4" x14ac:dyDescent="0.3">
      <c r="B26" s="283" t="s">
        <v>208</v>
      </c>
      <c r="C26" s="286">
        <f>CORREL(C6:C12,D6:D12)</f>
        <v>-9.667364890456645E-2</v>
      </c>
      <c r="D26" s="286"/>
    </row>
    <row r="27" spans="2:4" x14ac:dyDescent="0.3">
      <c r="C27" s="118"/>
      <c r="D27" s="118"/>
    </row>
    <row r="28" spans="2:4" x14ac:dyDescent="0.3">
      <c r="B28" s="283" t="s">
        <v>209</v>
      </c>
      <c r="C28" s="284">
        <f>SLOPE(C6:C12,D6:D12)</f>
        <v>-0.50000000000000078</v>
      </c>
      <c r="D28" s="284"/>
    </row>
    <row r="29" spans="2:4" x14ac:dyDescent="0.3">
      <c r="C29" s="118"/>
      <c r="D29" s="118"/>
    </row>
    <row r="30" spans="2:4" x14ac:dyDescent="0.3">
      <c r="B30" s="283" t="s">
        <v>210</v>
      </c>
      <c r="C30" s="287">
        <f>(C14-D14)/C16</f>
        <v>1.0883838657625988</v>
      </c>
      <c r="D30" s="288"/>
    </row>
    <row r="31" spans="2:4" x14ac:dyDescent="0.3">
      <c r="C31" s="118"/>
      <c r="D31" s="118"/>
    </row>
    <row r="32" spans="2:4" x14ac:dyDescent="0.3">
      <c r="B32" s="283" t="s">
        <v>211</v>
      </c>
      <c r="C32" s="284">
        <f>(C14-D14)/C28</f>
        <v>-6.4999999999999933E-2</v>
      </c>
      <c r="D32" s="284"/>
    </row>
    <row r="33" spans="2:4" x14ac:dyDescent="0.3">
      <c r="C33" s="118"/>
      <c r="D33" s="118"/>
    </row>
    <row r="34" spans="2:4" x14ac:dyDescent="0.3">
      <c r="B34" s="283" t="s">
        <v>212</v>
      </c>
      <c r="C34" s="284">
        <f>C14-(D14+C28*(C14-D14))</f>
        <v>4.8750000000000043E-2</v>
      </c>
      <c r="D34" s="284"/>
    </row>
    <row r="36" spans="2:4" x14ac:dyDescent="0.3">
      <c r="C36" s="284" t="s">
        <v>216</v>
      </c>
      <c r="D36" s="284"/>
    </row>
  </sheetData>
  <mergeCells count="8">
    <mergeCell ref="C36:D36"/>
    <mergeCell ref="B2:D2"/>
    <mergeCell ref="C34:D34"/>
    <mergeCell ref="C24:D24"/>
    <mergeCell ref="C26:D26"/>
    <mergeCell ref="C28:D28"/>
    <mergeCell ref="C32:D32"/>
    <mergeCell ref="C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P1-Simple Interest</vt:lpstr>
      <vt:lpstr>P2-Compound Interest</vt:lpstr>
      <vt:lpstr>P3-Calc. PV &amp; More</vt:lpstr>
      <vt:lpstr>P4-Calc. FV &amp; More</vt:lpstr>
      <vt:lpstr>P5-Calc. Cash Payment</vt:lpstr>
      <vt:lpstr>P6-Calc. NPV</vt:lpstr>
      <vt:lpstr>P7-Calc. NPV</vt:lpstr>
      <vt:lpstr>P8-Free Cash Flow</vt:lpstr>
      <vt:lpstr>P9-Calc. Risk-Free Bond</vt:lpstr>
      <vt:lpstr>P10-Calc. Risk-Free Bond</vt:lpstr>
      <vt:lpstr>P11-Calc. Duration</vt:lpstr>
      <vt:lpstr>P12-Calc. Forward Interest Rate</vt:lpstr>
      <vt:lpstr>P13-Bond's Instrinsic Value</vt:lpstr>
      <vt:lpstr>P14-Calc. Bond Price by GGM</vt:lpstr>
      <vt:lpstr>P15-Multi-Stage Growth Model</vt:lpstr>
      <vt:lpstr>P16-Total Payout Model</vt:lpstr>
      <vt:lpstr>P17-FCF</vt:lpstr>
      <vt:lpstr>P18-Comparable Firms</vt:lpstr>
      <vt:lpstr>P19-CAPM</vt:lpstr>
      <vt:lpstr>P20-Risk Premium</vt:lpstr>
      <vt:lpstr>P21-Equity Cost of Capital</vt:lpstr>
      <vt:lpstr>P22-Beta Estimation</vt:lpstr>
      <vt:lpstr>P23-Debt Cost of Capital</vt:lpstr>
      <vt:lpstr>P24-Calc. Equity Value</vt:lpstr>
      <vt:lpstr>P25-WACC MM-II</vt:lpstr>
      <vt:lpstr>P26-Interest Tax Deduction</vt:lpstr>
      <vt:lpstr>P27-Interest Tax Shield</vt:lpstr>
      <vt:lpstr>P28-Recapitalization</vt:lpstr>
      <vt:lpstr>P29-Personal Taxes</vt:lpstr>
      <vt:lpstr>P30-Optimal Capital Stucture</vt:lpstr>
      <vt:lpstr>P31-Cost of Bankruptcy</vt:lpstr>
      <vt:lpstr>P32-Financial Distress Costs</vt:lpstr>
      <vt:lpstr>P33-Trade-Off Theory</vt:lpstr>
      <vt:lpstr>P34-Risk &amp; Return</vt:lpstr>
      <vt:lpstr>P35-Measures of Risk and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</dc:creator>
  <cp:lastModifiedBy>Arnav K</cp:lastModifiedBy>
  <dcterms:created xsi:type="dcterms:W3CDTF">2026-01-17T22:15:49Z</dcterms:created>
  <dcterms:modified xsi:type="dcterms:W3CDTF">2026-01-22T07:30:43Z</dcterms:modified>
</cp:coreProperties>
</file>