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73d9a08e9c0d11e/ドキュメント/"/>
    </mc:Choice>
  </mc:AlternateContent>
  <xr:revisionPtr revIDLastSave="0" documentId="8_{FD81A474-9CD6-4660-823F-5F8E74311C2C}" xr6:coauthVersionLast="47" xr6:coauthVersionMax="47" xr10:uidLastSave="{00000000-0000-0000-0000-000000000000}"/>
  <bookViews>
    <workbookView xWindow="-108" yWindow="-108" windowWidth="23256" windowHeight="12456" firstSheet="8" activeTab="10" xr2:uid="{F8CCE0AB-1074-4ED9-83DC-1014B313B522}"/>
  </bookViews>
  <sheets>
    <sheet name="P13-Zero-Growth Model" sheetId="1" r:id="rId1"/>
    <sheet name="P14-Gordan Growth Model" sheetId="2" r:id="rId2"/>
    <sheet name="P15-Multi-Stage Growth Model" sheetId="3" r:id="rId3"/>
    <sheet name="P16-Total Payout Model" sheetId="4" r:id="rId4"/>
    <sheet name="P17-FCF Model" sheetId="5" r:id="rId5"/>
    <sheet name="P18-Valuation Model" sheetId="6" r:id="rId6"/>
    <sheet name="P19-CAPM" sheetId="7" r:id="rId7"/>
    <sheet name="P20-Determining the risk premiu" sheetId="8" r:id="rId8"/>
    <sheet name="P21-Equity Cost Of Capital(Ke)" sheetId="9" r:id="rId9"/>
    <sheet name="P22-Beta Estimation" sheetId="11" r:id="rId10"/>
    <sheet name="P23-Debt Cost of Capital(Kd)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3" l="1"/>
  <c r="F12" i="3"/>
  <c r="E12" i="3"/>
  <c r="D12" i="3"/>
  <c r="F10" i="3"/>
  <c r="F11" i="3"/>
  <c r="F9" i="3"/>
  <c r="E10" i="3"/>
  <c r="E11" i="3"/>
  <c r="E9" i="3"/>
  <c r="D11" i="3"/>
  <c r="D10" i="3"/>
  <c r="D9" i="3"/>
  <c r="C6" i="2"/>
  <c r="D15" i="11" l="1"/>
  <c r="D13" i="11"/>
  <c r="D12" i="11"/>
  <c r="D14" i="11" s="1"/>
  <c r="C12" i="10"/>
  <c r="C10" i="10"/>
  <c r="C8" i="10"/>
  <c r="D6" i="9"/>
  <c r="D11" i="8"/>
  <c r="D9" i="8"/>
  <c r="D7" i="8"/>
  <c r="D6" i="7"/>
  <c r="E9" i="6"/>
  <c r="E8" i="6"/>
  <c r="E7" i="6"/>
  <c r="E6" i="6"/>
  <c r="E10" i="6" s="1"/>
  <c r="E12" i="6" s="1"/>
  <c r="C14" i="5"/>
  <c r="D14" i="5" s="1"/>
  <c r="D12" i="5"/>
  <c r="D11" i="5"/>
  <c r="D10" i="5"/>
  <c r="D13" i="5" s="1"/>
  <c r="D16" i="5" s="1"/>
  <c r="D18" i="5" s="1"/>
  <c r="D20" i="5" s="1"/>
  <c r="C8" i="4"/>
  <c r="C5" i="1"/>
</calcChain>
</file>

<file path=xl/sharedStrings.xml><?xml version="1.0" encoding="utf-8"?>
<sst xmlns="http://schemas.openxmlformats.org/spreadsheetml/2006/main" count="99" uniqueCount="75">
  <si>
    <t>Zero-Growth Model</t>
  </si>
  <si>
    <t>Dividend</t>
  </si>
  <si>
    <t>Rate of Return</t>
  </si>
  <si>
    <t xml:space="preserve">Bond's Intrinsic Value </t>
  </si>
  <si>
    <t>Constant Growth Model
(Gordon Growth Model)</t>
  </si>
  <si>
    <t xml:space="preserve">Growth Rate </t>
  </si>
  <si>
    <t>Bond Price (P)</t>
  </si>
  <si>
    <t xml:space="preserve">Multi-Stage Growth Model </t>
  </si>
  <si>
    <t>Growth Rate (First 3 Years)</t>
  </si>
  <si>
    <t>Growth Rate (After 3 Years)</t>
  </si>
  <si>
    <t xml:space="preserve">Year </t>
  </si>
  <si>
    <t>Discount Factor</t>
  </si>
  <si>
    <t>PV of Dividend</t>
  </si>
  <si>
    <t>Terminal Value</t>
  </si>
  <si>
    <t>Total Value</t>
  </si>
  <si>
    <t>Total Payout Model (TPM)</t>
  </si>
  <si>
    <t>Dividend Per Share</t>
  </si>
  <si>
    <t xml:space="preserve">Repurchase Per Share </t>
  </si>
  <si>
    <t>Growth Rate</t>
  </si>
  <si>
    <t xml:space="preserve">Cost of Equity </t>
  </si>
  <si>
    <t>Intrinsic Value</t>
  </si>
  <si>
    <t xml:space="preserve">Free Cash Flow (FCF) Model </t>
  </si>
  <si>
    <t>WACC</t>
  </si>
  <si>
    <t>Terminal Growth Rate</t>
  </si>
  <si>
    <t>Debt</t>
  </si>
  <si>
    <t>Cash</t>
  </si>
  <si>
    <t>Outstanding Shares</t>
  </si>
  <si>
    <t>Year</t>
  </si>
  <si>
    <t>FCF</t>
  </si>
  <si>
    <t>PV</t>
  </si>
  <si>
    <t>Total</t>
  </si>
  <si>
    <t>Enterprise Value (EV)</t>
  </si>
  <si>
    <t xml:space="preserve">Equity Value </t>
  </si>
  <si>
    <t xml:space="preserve">Price Per Share </t>
  </si>
  <si>
    <t>Company 'Ambuja Cement' EPS</t>
  </si>
  <si>
    <t>Comparable Company</t>
  </si>
  <si>
    <t>EPS</t>
  </si>
  <si>
    <t>Price</t>
  </si>
  <si>
    <t xml:space="preserve">P/E Ratio </t>
  </si>
  <si>
    <t>ACC Cement</t>
  </si>
  <si>
    <t>Birla Cement</t>
  </si>
  <si>
    <t>Chettinad Cement</t>
  </si>
  <si>
    <t>Dalmia Cement</t>
  </si>
  <si>
    <t xml:space="preserve">Average P/E </t>
  </si>
  <si>
    <t>Estimated Price</t>
  </si>
  <si>
    <t>per share</t>
  </si>
  <si>
    <t>The Capital Asset Pricing Model (CAPM)</t>
  </si>
  <si>
    <t>Risk-Free Rate (Rf)</t>
  </si>
  <si>
    <t>Market Return (Rm)</t>
  </si>
  <si>
    <t>Beta (β)</t>
  </si>
  <si>
    <t>Expected Return</t>
  </si>
  <si>
    <t>Determining the Risk Premium</t>
  </si>
  <si>
    <t>Market Risk Premium</t>
  </si>
  <si>
    <t xml:space="preserve">Security Risk Premium </t>
  </si>
  <si>
    <t xml:space="preserve">Equity Cost of Capital (Ke) </t>
  </si>
  <si>
    <t xml:space="preserve">Cost of Equity (Ke) </t>
  </si>
  <si>
    <t>Debt Cost of Capital (Kd)</t>
  </si>
  <si>
    <t>Yield to Maturity (YTM)</t>
  </si>
  <si>
    <t>Interest Rate</t>
  </si>
  <si>
    <t>Bond Yield for Rating</t>
  </si>
  <si>
    <t>Corporate Tax Rate</t>
  </si>
  <si>
    <t>Cost of Debt using YTM</t>
  </si>
  <si>
    <t>Cost of Debt using Loan Rate</t>
  </si>
  <si>
    <t>Cost of Debt using Credit Rating Yield</t>
  </si>
  <si>
    <t>Beta Estimation</t>
  </si>
  <si>
    <t>Month</t>
  </si>
  <si>
    <t>Stock Return (Ri)</t>
  </si>
  <si>
    <t>Covariance</t>
  </si>
  <si>
    <t>Variance</t>
  </si>
  <si>
    <t>Beta</t>
  </si>
  <si>
    <t>Date: 20-01-2026</t>
  </si>
  <si>
    <t>Date: 19-01-2026</t>
  </si>
  <si>
    <t>Date: 16-01-2026</t>
  </si>
  <si>
    <t>(Direct Excel formula)</t>
  </si>
  <si>
    <t>(Covariance/Variance)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</si>
</sst>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₹-4009]\ #,##0.00"/>
    <numFmt numFmtId="165" formatCode="&quot;₹&quot;\ #,##0.00"/>
    <numFmt numFmtId="166" formatCode="0.0"/>
    <numFmt numFmtId="167" formatCode="0.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  <font>
      <sz val="10"/>
      <color rgb="FF000000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rgb="FF000000"/>
      <name val="Times New Roman"/>
      <family val="1"/>
    </font>
    <font>
      <b/>
      <sz val="16"/>
      <name val="Times New Roman"/>
      <family val="1"/>
    </font>
    <font>
      <sz val="11"/>
      <color rgb="FF3F3F76"/>
      <name val="Times New Roman"/>
      <family val="1"/>
    </font>
    <font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1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2" borderId="1" applyNumberFormat="0" applyAlignment="0" applyProtection="0"/>
    <xf numFmtId="0" fontId="3" fillId="3" borderId="2" applyNumberFormat="0" applyAlignment="0" applyProtection="0"/>
    <xf numFmtId="0" fontId="1" fillId="4" borderId="3" applyNumberFormat="0" applyFont="0" applyAlignment="0" applyProtection="0"/>
    <xf numFmtId="0" fontId="6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8" fillId="0" borderId="0"/>
  </cellStyleXfs>
  <cellXfs count="91">
    <xf numFmtId="0" fontId="0" fillId="0" borderId="0" xfId="0"/>
    <xf numFmtId="14" fontId="0" fillId="0" borderId="0" xfId="0" applyNumberFormat="1"/>
    <xf numFmtId="0" fontId="1" fillId="6" borderId="4" xfId="5" applyBorder="1"/>
    <xf numFmtId="1" fontId="1" fillId="6" borderId="4" xfId="5" applyNumberFormat="1" applyBorder="1" applyAlignment="1">
      <alignment horizontal="center" vertical="center"/>
    </xf>
    <xf numFmtId="10" fontId="1" fillId="6" borderId="4" xfId="5" applyNumberFormat="1" applyBorder="1" applyAlignment="1">
      <alignment horizontal="center" vertical="center"/>
    </xf>
    <xf numFmtId="0" fontId="1" fillId="8" borderId="4" xfId="7" applyBorder="1"/>
    <xf numFmtId="164" fontId="1" fillId="8" borderId="4" xfId="7" applyNumberFormat="1" applyBorder="1" applyAlignment="1">
      <alignment horizontal="center" vertical="center"/>
    </xf>
    <xf numFmtId="2" fontId="1" fillId="6" borderId="4" xfId="5" applyNumberFormat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4" fillId="5" borderId="4" xfId="4" applyFont="1" applyBorder="1" applyAlignment="1">
      <alignment horizontal="center"/>
    </xf>
    <xf numFmtId="0" fontId="1" fillId="6" borderId="4" xfId="5" applyBorder="1" applyAlignment="1">
      <alignment horizontal="center"/>
    </xf>
    <xf numFmtId="165" fontId="1" fillId="6" borderId="4" xfId="5" applyNumberFormat="1" applyBorder="1"/>
    <xf numFmtId="0" fontId="5" fillId="7" borderId="4" xfId="6" applyFont="1" applyBorder="1" applyAlignment="1">
      <alignment horizontal="center"/>
    </xf>
    <xf numFmtId="165" fontId="1" fillId="7" borderId="4" xfId="6" applyNumberFormat="1" applyBorder="1"/>
    <xf numFmtId="0" fontId="5" fillId="8" borderId="4" xfId="7" applyFont="1" applyBorder="1"/>
    <xf numFmtId="165" fontId="1" fillId="8" borderId="4" xfId="7" applyNumberFormat="1" applyBorder="1"/>
    <xf numFmtId="165" fontId="6" fillId="5" borderId="4" xfId="4" applyNumberFormat="1" applyBorder="1"/>
    <xf numFmtId="0" fontId="10" fillId="0" borderId="4" xfId="8" applyFont="1" applyBorder="1" applyAlignment="1">
      <alignment horizontal="center"/>
    </xf>
    <xf numFmtId="164" fontId="6" fillId="5" borderId="4" xfId="4" applyNumberFormat="1" applyBorder="1"/>
    <xf numFmtId="0" fontId="12" fillId="2" borderId="4" xfId="1" applyFont="1" applyBorder="1" applyAlignment="1">
      <alignment horizontal="center"/>
    </xf>
    <xf numFmtId="164" fontId="12" fillId="2" borderId="4" xfId="1" applyNumberFormat="1" applyFont="1" applyBorder="1" applyAlignment="1">
      <alignment horizontal="center" vertical="center"/>
    </xf>
    <xf numFmtId="0" fontId="12" fillId="2" borderId="4" xfId="1" applyFont="1" applyBorder="1" applyAlignment="1">
      <alignment horizontal="center"/>
    </xf>
    <xf numFmtId="0" fontId="13" fillId="6" borderId="4" xfId="5" applyFont="1" applyBorder="1"/>
    <xf numFmtId="2" fontId="13" fillId="6" borderId="4" xfId="5" applyNumberFormat="1" applyFont="1" applyBorder="1" applyAlignment="1">
      <alignment horizontal="center" vertical="center"/>
    </xf>
    <xf numFmtId="164" fontId="13" fillId="6" borderId="4" xfId="5" applyNumberFormat="1" applyFont="1" applyBorder="1" applyAlignment="1">
      <alignment horizontal="center" vertical="center"/>
    </xf>
    <xf numFmtId="10" fontId="1" fillId="6" borderId="4" xfId="5" applyNumberFormat="1" applyBorder="1" applyAlignment="1">
      <alignment horizontal="center"/>
    </xf>
    <xf numFmtId="166" fontId="1" fillId="6" borderId="4" xfId="5" applyNumberFormat="1" applyBorder="1" applyAlignment="1">
      <alignment horizontal="center"/>
    </xf>
    <xf numFmtId="0" fontId="10" fillId="0" borderId="5" xfId="8" applyFont="1" applyBorder="1" applyAlignment="1">
      <alignment horizontal="center"/>
    </xf>
    <xf numFmtId="0" fontId="10" fillId="0" borderId="6" xfId="8" applyFont="1" applyBorder="1" applyAlignment="1">
      <alignment horizontal="center"/>
    </xf>
    <xf numFmtId="0" fontId="10" fillId="0" borderId="7" xfId="8" applyFont="1" applyBorder="1" applyAlignment="1">
      <alignment horizontal="center"/>
    </xf>
    <xf numFmtId="0" fontId="8" fillId="0" borderId="5" xfId="8" applyBorder="1" applyAlignment="1">
      <alignment horizontal="center"/>
    </xf>
    <xf numFmtId="0" fontId="8" fillId="0" borderId="6" xfId="8" applyBorder="1" applyAlignment="1">
      <alignment horizontal="center"/>
    </xf>
    <xf numFmtId="0" fontId="8" fillId="0" borderId="7" xfId="8" applyBorder="1" applyAlignment="1">
      <alignment horizontal="center"/>
    </xf>
    <xf numFmtId="0" fontId="15" fillId="4" borderId="4" xfId="3" applyFont="1" applyBorder="1" applyAlignment="1">
      <alignment horizontal="center"/>
    </xf>
    <xf numFmtId="0" fontId="1" fillId="6" borderId="4" xfId="5" applyBorder="1" applyAlignment="1">
      <alignment horizontal="left" vertical="center" indent="1"/>
    </xf>
    <xf numFmtId="0" fontId="16" fillId="4" borderId="4" xfId="3" applyFont="1" applyBorder="1" applyAlignment="1">
      <alignment horizontal="center"/>
    </xf>
    <xf numFmtId="0" fontId="2" fillId="2" borderId="4" xfId="1" applyBorder="1" applyAlignment="1">
      <alignment horizontal="center"/>
    </xf>
    <xf numFmtId="167" fontId="1" fillId="6" borderId="4" xfId="5" applyNumberFormat="1" applyBorder="1" applyAlignment="1">
      <alignment horizontal="center"/>
    </xf>
    <xf numFmtId="0" fontId="7" fillId="4" borderId="5" xfId="3" applyFont="1" applyBorder="1" applyAlignment="1">
      <alignment horizontal="center"/>
    </xf>
    <xf numFmtId="0" fontId="7" fillId="4" borderId="7" xfId="3" applyFont="1" applyBorder="1" applyAlignment="1">
      <alignment horizontal="center"/>
    </xf>
    <xf numFmtId="0" fontId="3" fillId="3" borderId="2" xfId="2" applyAlignment="1">
      <alignment horizontal="right"/>
    </xf>
    <xf numFmtId="0" fontId="7" fillId="4" borderId="5" xfId="3" applyFont="1" applyBorder="1" applyAlignment="1">
      <alignment horizontal="center" wrapText="1"/>
    </xf>
    <xf numFmtId="0" fontId="7" fillId="4" borderId="7" xfId="3" applyFont="1" applyBorder="1" applyAlignment="1">
      <alignment horizontal="center" wrapText="1"/>
    </xf>
    <xf numFmtId="0" fontId="9" fillId="4" borderId="4" xfId="3" applyFont="1" applyBorder="1" applyAlignment="1">
      <alignment horizontal="center" vertical="center" wrapText="1"/>
    </xf>
    <xf numFmtId="0" fontId="5" fillId="8" borderId="4" xfId="7" applyFont="1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6" borderId="4" xfId="5" applyBorder="1" applyAlignment="1">
      <alignment horizontal="left" vertical="center"/>
    </xf>
    <xf numFmtId="164" fontId="1" fillId="6" borderId="4" xfId="5" applyNumberFormat="1" applyBorder="1" applyAlignment="1">
      <alignment horizontal="center" vertical="center"/>
    </xf>
    <xf numFmtId="4" fontId="1" fillId="6" borderId="4" xfId="5" applyNumberFormat="1" applyBorder="1" applyAlignment="1">
      <alignment horizontal="center" vertical="center"/>
    </xf>
    <xf numFmtId="0" fontId="2" fillId="2" borderId="4" xfId="1" applyBorder="1"/>
    <xf numFmtId="0" fontId="11" fillId="4" borderId="4" xfId="3" applyFont="1" applyBorder="1" applyAlignment="1">
      <alignment horizontal="center" vertical="center" wrapText="1"/>
    </xf>
    <xf numFmtId="0" fontId="10" fillId="0" borderId="0" xfId="8" applyFont="1" applyAlignment="1"/>
    <xf numFmtId="0" fontId="1" fillId="6" borderId="5" xfId="5" applyBorder="1" applyAlignment="1">
      <alignment horizontal="center"/>
    </xf>
    <xf numFmtId="0" fontId="1" fillId="6" borderId="7" xfId="5" applyBorder="1" applyAlignment="1">
      <alignment horizontal="center"/>
    </xf>
    <xf numFmtId="0" fontId="1" fillId="6" borderId="5" xfId="5" applyBorder="1" applyAlignment="1">
      <alignment horizontal="left"/>
    </xf>
    <xf numFmtId="0" fontId="1" fillId="6" borderId="7" xfId="5" applyBorder="1" applyAlignment="1">
      <alignment horizontal="left"/>
    </xf>
    <xf numFmtId="10" fontId="1" fillId="8" borderId="4" xfId="7" applyNumberFormat="1" applyBorder="1" applyAlignment="1">
      <alignment horizontal="center"/>
    </xf>
    <xf numFmtId="0" fontId="5" fillId="8" borderId="5" xfId="7" applyFont="1" applyBorder="1" applyAlignment="1">
      <alignment horizontal="left"/>
    </xf>
    <xf numFmtId="0" fontId="5" fillId="8" borderId="7" xfId="7" applyFont="1" applyBorder="1" applyAlignment="1">
      <alignment horizontal="left"/>
    </xf>
    <xf numFmtId="0" fontId="14" fillId="4" borderId="5" xfId="3" applyFont="1" applyBorder="1" applyAlignment="1">
      <alignment horizontal="center"/>
    </xf>
    <xf numFmtId="0" fontId="14" fillId="4" borderId="6" xfId="3" applyFont="1" applyBorder="1" applyAlignment="1">
      <alignment horizontal="center"/>
    </xf>
    <xf numFmtId="0" fontId="14" fillId="4" borderId="7" xfId="3" applyFont="1" applyBorder="1" applyAlignment="1">
      <alignment horizontal="center"/>
    </xf>
    <xf numFmtId="164" fontId="1" fillId="7" borderId="4" xfId="6" applyNumberFormat="1" applyBorder="1" applyAlignment="1">
      <alignment horizontal="center" vertical="center"/>
    </xf>
    <xf numFmtId="0" fontId="5" fillId="8" borderId="4" xfId="7" applyFont="1" applyBorder="1" applyAlignment="1">
      <alignment horizontal="center"/>
    </xf>
    <xf numFmtId="0" fontId="5" fillId="8" borderId="4" xfId="7" applyFont="1" applyBorder="1" applyAlignment="1">
      <alignment horizontal="left" vertical="center" indent="1"/>
    </xf>
    <xf numFmtId="0" fontId="0" fillId="0" borderId="6" xfId="0" applyBorder="1" applyAlignment="1">
      <alignment horizontal="center"/>
    </xf>
    <xf numFmtId="0" fontId="5" fillId="8" borderId="4" xfId="7" applyFont="1" applyBorder="1" applyAlignment="1"/>
    <xf numFmtId="0" fontId="1" fillId="7" borderId="4" xfId="6" applyBorder="1" applyAlignment="1"/>
    <xf numFmtId="0" fontId="1" fillId="7" borderId="4" xfId="6" applyNumberFormat="1" applyBorder="1"/>
    <xf numFmtId="0" fontId="1" fillId="7" borderId="4" xfId="6" applyBorder="1"/>
    <xf numFmtId="0" fontId="1" fillId="8" borderId="4" xfId="7" applyBorder="1" applyAlignment="1"/>
    <xf numFmtId="2" fontId="1" fillId="6" borderId="5" xfId="5" applyNumberFormat="1" applyBorder="1" applyAlignment="1">
      <alignment horizontal="center" vertical="center"/>
    </xf>
    <xf numFmtId="2" fontId="1" fillId="6" borderId="7" xfId="5" applyNumberFormat="1" applyBorder="1" applyAlignment="1">
      <alignment horizontal="center" vertical="center"/>
    </xf>
    <xf numFmtId="10" fontId="1" fillId="6" borderId="5" xfId="5" applyNumberFormat="1" applyBorder="1" applyAlignment="1">
      <alignment horizontal="center" vertical="center"/>
    </xf>
    <xf numFmtId="10" fontId="1" fillId="6" borderId="7" xfId="5" applyNumberFormat="1" applyBorder="1" applyAlignment="1">
      <alignment horizontal="center" vertical="center"/>
    </xf>
    <xf numFmtId="0" fontId="7" fillId="4" borderId="5" xfId="3" applyFont="1" applyBorder="1" applyAlignment="1">
      <alignment horizontal="center" vertical="center"/>
    </xf>
    <xf numFmtId="0" fontId="7" fillId="4" borderId="6" xfId="3" applyFont="1" applyBorder="1" applyAlignment="1">
      <alignment horizontal="center" vertical="center"/>
    </xf>
    <xf numFmtId="0" fontId="7" fillId="4" borderId="7" xfId="3" applyFont="1" applyBorder="1" applyAlignment="1">
      <alignment horizontal="center" vertical="center"/>
    </xf>
    <xf numFmtId="0" fontId="1" fillId="6" borderId="6" xfId="5" applyBorder="1" applyAlignment="1">
      <alignment horizontal="left"/>
    </xf>
    <xf numFmtId="0" fontId="2" fillId="2" borderId="5" xfId="1" applyBorder="1" applyAlignment="1">
      <alignment horizontal="center" vertical="center"/>
    </xf>
    <xf numFmtId="0" fontId="2" fillId="2" borderId="7" xfId="1" applyBorder="1" applyAlignment="1">
      <alignment horizontal="center" vertical="center"/>
    </xf>
    <xf numFmtId="2" fontId="1" fillId="7" borderId="4" xfId="6" applyNumberFormat="1" applyBorder="1" applyAlignment="1">
      <alignment horizontal="center" vertical="center"/>
    </xf>
    <xf numFmtId="0" fontId="5" fillId="7" borderId="4" xfId="6" applyFont="1" applyBorder="1" applyAlignment="1">
      <alignment horizontal="left"/>
    </xf>
    <xf numFmtId="0" fontId="1" fillId="7" borderId="7" xfId="6" applyBorder="1" applyAlignment="1">
      <alignment horizontal="center"/>
    </xf>
    <xf numFmtId="2" fontId="1" fillId="8" borderId="5" xfId="7" applyNumberFormat="1" applyBorder="1" applyAlignment="1">
      <alignment horizontal="center" vertical="center"/>
    </xf>
    <xf numFmtId="2" fontId="1" fillId="8" borderId="7" xfId="7" applyNumberFormat="1" applyBorder="1" applyAlignment="1">
      <alignment horizontal="center" vertical="center"/>
    </xf>
    <xf numFmtId="0" fontId="5" fillId="8" borderId="5" xfId="7" applyFont="1" applyBorder="1" applyAlignment="1">
      <alignment horizontal="center"/>
    </xf>
    <xf numFmtId="0" fontId="5" fillId="8" borderId="6" xfId="7" applyFont="1" applyBorder="1" applyAlignment="1">
      <alignment horizontal="center"/>
    </xf>
    <xf numFmtId="0" fontId="5" fillId="8" borderId="7" xfId="7" applyFont="1" applyBorder="1" applyAlignment="1">
      <alignment horizontal="center"/>
    </xf>
  </cellXfs>
  <cellStyles count="9">
    <cellStyle name="20% - Accent1" xfId="5" builtinId="30"/>
    <cellStyle name="40% - Accent1" xfId="6" builtinId="31"/>
    <cellStyle name="60% - Accent1" xfId="7" builtinId="32"/>
    <cellStyle name="Accent1" xfId="4" builtinId="29"/>
    <cellStyle name="Input" xfId="1" builtinId="20"/>
    <cellStyle name="Normal" xfId="0" builtinId="0"/>
    <cellStyle name="Normal 2" xfId="8" xr:uid="{CE916817-DCE9-483D-BBC3-FEDC14D2AF2F}"/>
    <cellStyle name="Note" xfId="3" builtinId="1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60513-100C-4582-86BA-FC62C370253E}">
  <dimension ref="B1:D7"/>
  <sheetViews>
    <sheetView zoomScaleNormal="100" workbookViewId="0">
      <selection activeCell="D23" sqref="D23"/>
    </sheetView>
  </sheetViews>
  <sheetFormatPr defaultRowHeight="14.4" x14ac:dyDescent="0.3"/>
  <cols>
    <col min="1" max="1" width="8.77734375" customWidth="1"/>
    <col min="2" max="2" width="27.33203125" customWidth="1"/>
    <col min="3" max="3" width="21.88671875" customWidth="1"/>
    <col min="4" max="4" width="10.5546875" bestFit="1" customWidth="1"/>
  </cols>
  <sheetData>
    <row r="1" spans="2:4" x14ac:dyDescent="0.3">
      <c r="D1" s="1"/>
    </row>
    <row r="2" spans="2:4" x14ac:dyDescent="0.3">
      <c r="B2" s="38" t="s">
        <v>0</v>
      </c>
      <c r="C2" s="39"/>
    </row>
    <row r="3" spans="2:4" x14ac:dyDescent="0.3">
      <c r="B3" s="2" t="s">
        <v>1</v>
      </c>
      <c r="C3" s="3">
        <v>6</v>
      </c>
    </row>
    <row r="4" spans="2:4" x14ac:dyDescent="0.3">
      <c r="B4" s="2" t="s">
        <v>2</v>
      </c>
      <c r="C4" s="4">
        <v>0.12</v>
      </c>
    </row>
    <row r="5" spans="2:4" x14ac:dyDescent="0.3">
      <c r="B5" s="14" t="s">
        <v>3</v>
      </c>
      <c r="C5" s="6">
        <f>C3/C4</f>
        <v>50</v>
      </c>
    </row>
    <row r="7" spans="2:4" x14ac:dyDescent="0.3">
      <c r="C7" s="40" t="s">
        <v>72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B88E8-08A5-4253-8AEF-33053EF9F110}">
  <dimension ref="B2:D8"/>
  <sheetViews>
    <sheetView zoomScaleNormal="100" workbookViewId="0">
      <selection activeCell="I24" sqref="I24"/>
    </sheetView>
  </sheetViews>
  <sheetFormatPr defaultRowHeight="14.4" x14ac:dyDescent="0.3"/>
  <cols>
    <col min="1" max="1" width="8.33203125" customWidth="1"/>
    <col min="2" max="2" width="26.21875" customWidth="1"/>
    <col min="3" max="3" width="19.109375" customWidth="1"/>
    <col min="4" max="4" width="9.88671875" customWidth="1"/>
    <col min="8" max="8" width="8.21875" customWidth="1"/>
  </cols>
  <sheetData>
    <row r="2" spans="2:4" ht="28.2" customHeight="1" x14ac:dyDescent="0.3">
      <c r="B2" s="41" t="s">
        <v>4</v>
      </c>
      <c r="C2" s="42"/>
      <c r="D2" s="1"/>
    </row>
    <row r="3" spans="2:4" x14ac:dyDescent="0.3">
      <c r="B3" s="2" t="s">
        <v>1</v>
      </c>
      <c r="C3" s="7">
        <v>5</v>
      </c>
    </row>
    <row r="4" spans="2:4" x14ac:dyDescent="0.3">
      <c r="B4" s="2" t="s">
        <v>2</v>
      </c>
      <c r="C4" s="4">
        <v>0.1</v>
      </c>
    </row>
    <row r="5" spans="2:4" x14ac:dyDescent="0.3">
      <c r="B5" s="2" t="s">
        <v>5</v>
      </c>
      <c r="C5" s="4">
        <v>0.06</v>
      </c>
    </row>
    <row r="6" spans="2:4" x14ac:dyDescent="0.3">
      <c r="B6" s="14" t="s">
        <v>6</v>
      </c>
      <c r="C6" s="6">
        <f>C3/(C4-C5)</f>
        <v>124.99999999999997</v>
      </c>
    </row>
    <row r="8" spans="2:4" x14ac:dyDescent="0.3">
      <c r="C8" s="40" t="s">
        <v>72</v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2B85-F7F6-45DB-955F-F39DD5A2F975}">
  <dimension ref="B1:F16"/>
  <sheetViews>
    <sheetView zoomScaleNormal="100" workbookViewId="0">
      <selection activeCell="L27" sqref="L27"/>
    </sheetView>
  </sheetViews>
  <sheetFormatPr defaultRowHeight="14.4" x14ac:dyDescent="0.3"/>
  <cols>
    <col min="1" max="1" width="8.109375" customWidth="1"/>
    <col min="2" max="2" width="19.77734375" customWidth="1"/>
    <col min="3" max="3" width="21.6640625" customWidth="1"/>
    <col min="4" max="4" width="20.6640625" customWidth="1"/>
    <col min="5" max="5" width="22.44140625" customWidth="1"/>
    <col min="6" max="6" width="19.21875" customWidth="1"/>
  </cols>
  <sheetData>
    <row r="1" spans="2:6" ht="14.4" customHeight="1" x14ac:dyDescent="0.3"/>
    <row r="2" spans="2:6" x14ac:dyDescent="0.3">
      <c r="B2" s="77" t="s">
        <v>7</v>
      </c>
      <c r="C2" s="78"/>
      <c r="D2" s="78"/>
      <c r="E2" s="78"/>
      <c r="F2" s="79"/>
    </row>
    <row r="3" spans="2:6" x14ac:dyDescent="0.3">
      <c r="B3" s="56" t="s">
        <v>1</v>
      </c>
      <c r="C3" s="80"/>
      <c r="D3" s="57"/>
      <c r="E3" s="73">
        <v>4</v>
      </c>
      <c r="F3" s="74"/>
    </row>
    <row r="4" spans="2:6" x14ac:dyDescent="0.3">
      <c r="B4" s="56" t="s">
        <v>2</v>
      </c>
      <c r="C4" s="80"/>
      <c r="D4" s="57"/>
      <c r="E4" s="75">
        <v>0.1</v>
      </c>
      <c r="F4" s="76"/>
    </row>
    <row r="5" spans="2:6" x14ac:dyDescent="0.3">
      <c r="B5" s="56" t="s">
        <v>8</v>
      </c>
      <c r="C5" s="80"/>
      <c r="D5" s="57"/>
      <c r="E5" s="75">
        <v>0.12</v>
      </c>
      <c r="F5" s="76"/>
    </row>
    <row r="6" spans="2:6" x14ac:dyDescent="0.3">
      <c r="B6" s="56" t="s">
        <v>9</v>
      </c>
      <c r="C6" s="80"/>
      <c r="D6" s="57"/>
      <c r="E6" s="75">
        <v>0.06</v>
      </c>
      <c r="F6" s="76"/>
    </row>
    <row r="7" spans="2:6" ht="3.6" customHeight="1" x14ac:dyDescent="0.3">
      <c r="B7" s="31"/>
      <c r="C7" s="31"/>
      <c r="D7" s="31"/>
      <c r="E7" s="31"/>
      <c r="F7" s="31"/>
    </row>
    <row r="8" spans="2:6" x14ac:dyDescent="0.3">
      <c r="B8" s="81" t="s">
        <v>10</v>
      </c>
      <c r="C8" s="82"/>
      <c r="D8" s="8" t="s">
        <v>1</v>
      </c>
      <c r="E8" s="8" t="s">
        <v>11</v>
      </c>
      <c r="F8" s="8" t="s">
        <v>12</v>
      </c>
    </row>
    <row r="9" spans="2:6" x14ac:dyDescent="0.3">
      <c r="B9" s="54">
        <v>1</v>
      </c>
      <c r="C9" s="55"/>
      <c r="D9" s="7">
        <f>$E$3*(1+$E$5)</f>
        <v>4.4800000000000004</v>
      </c>
      <c r="E9" s="7">
        <f>1/(1+$E$4)^B9</f>
        <v>0.90909090909090906</v>
      </c>
      <c r="F9" s="7">
        <f>D9*E9</f>
        <v>4.0727272727272732</v>
      </c>
    </row>
    <row r="10" spans="2:6" x14ac:dyDescent="0.3">
      <c r="B10" s="54">
        <v>2</v>
      </c>
      <c r="C10" s="55"/>
      <c r="D10" s="7">
        <f>D9*(1+$E$5)</f>
        <v>5.0176000000000007</v>
      </c>
      <c r="E10" s="7">
        <f t="shared" ref="E10:E11" si="0">1/(1+$E$4)^B10</f>
        <v>0.82644628099173545</v>
      </c>
      <c r="F10" s="7">
        <f t="shared" ref="F10:F12" si="1">D10*E10</f>
        <v>4.1467768595041328</v>
      </c>
    </row>
    <row r="11" spans="2:6" x14ac:dyDescent="0.3">
      <c r="B11" s="54">
        <v>3</v>
      </c>
      <c r="C11" s="55"/>
      <c r="D11" s="7">
        <f>D10*(1+$E$5)</f>
        <v>5.6197120000000016</v>
      </c>
      <c r="E11" s="7">
        <f t="shared" si="0"/>
        <v>0.75131480090157754</v>
      </c>
      <c r="F11" s="7">
        <f t="shared" si="1"/>
        <v>4.2221728024042076</v>
      </c>
    </row>
    <row r="12" spans="2:6" x14ac:dyDescent="0.3">
      <c r="B12" s="84" t="s">
        <v>13</v>
      </c>
      <c r="C12" s="84"/>
      <c r="D12" s="85">
        <f>(D11*(1+$E$6))/($E$4-$E$6)</f>
        <v>148.92236800000003</v>
      </c>
      <c r="E12" s="83">
        <f>1/(1+$E$4)^3</f>
        <v>0.75131480090157754</v>
      </c>
      <c r="F12" s="83">
        <f t="shared" si="1"/>
        <v>111.88757926371149</v>
      </c>
    </row>
    <row r="13" spans="2:6" ht="3.6" customHeight="1" x14ac:dyDescent="0.3">
      <c r="B13" s="31"/>
      <c r="C13" s="31"/>
      <c r="D13" s="31"/>
      <c r="E13" s="31"/>
      <c r="F13" s="31"/>
    </row>
    <row r="14" spans="2:6" x14ac:dyDescent="0.3">
      <c r="B14" s="88" t="s">
        <v>14</v>
      </c>
      <c r="C14" s="89"/>
      <c r="D14" s="90"/>
      <c r="E14" s="86">
        <f>SUM(F9:F12)</f>
        <v>124.3292561983471</v>
      </c>
      <c r="F14" s="87"/>
    </row>
    <row r="16" spans="2:6" x14ac:dyDescent="0.3">
      <c r="F16" s="40" t="s">
        <v>72</v>
      </c>
    </row>
  </sheetData>
  <mergeCells count="18">
    <mergeCell ref="B14:D14"/>
    <mergeCell ref="B12:C12"/>
    <mergeCell ref="B8:C8"/>
    <mergeCell ref="B9:C9"/>
    <mergeCell ref="B10:C10"/>
    <mergeCell ref="B11:C11"/>
    <mergeCell ref="B13:F13"/>
    <mergeCell ref="E14:F14"/>
    <mergeCell ref="E3:F3"/>
    <mergeCell ref="B6:D6"/>
    <mergeCell ref="B5:D5"/>
    <mergeCell ref="B4:D4"/>
    <mergeCell ref="B3:D3"/>
    <mergeCell ref="E6:F6"/>
    <mergeCell ref="E5:F5"/>
    <mergeCell ref="B7:F7"/>
    <mergeCell ref="E4:F4"/>
    <mergeCell ref="B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51A1A-A181-4D7B-A85A-79D08E67C5D6}">
  <dimension ref="B1:D10"/>
  <sheetViews>
    <sheetView zoomScaleNormal="100" workbookViewId="0">
      <selection activeCell="E21" sqref="E21"/>
    </sheetView>
  </sheetViews>
  <sheetFormatPr defaultRowHeight="14.4" x14ac:dyDescent="0.3"/>
  <cols>
    <col min="1" max="1" width="9.33203125" customWidth="1"/>
    <col min="2" max="2" width="31.109375" customWidth="1"/>
    <col min="3" max="3" width="20.44140625" customWidth="1"/>
    <col min="4" max="4" width="12.21875" customWidth="1"/>
  </cols>
  <sheetData>
    <row r="1" spans="2:4" ht="15.6" customHeight="1" x14ac:dyDescent="0.3">
      <c r="D1" s="1"/>
    </row>
    <row r="2" spans="2:4" ht="15.6" x14ac:dyDescent="0.3">
      <c r="B2" s="43" t="s">
        <v>15</v>
      </c>
      <c r="C2" s="43"/>
    </row>
    <row r="3" spans="2:4" x14ac:dyDescent="0.3">
      <c r="B3" s="2" t="s">
        <v>16</v>
      </c>
      <c r="C3" s="7">
        <v>2</v>
      </c>
    </row>
    <row r="4" spans="2:4" x14ac:dyDescent="0.3">
      <c r="B4" s="2" t="s">
        <v>17</v>
      </c>
      <c r="C4" s="7">
        <v>1</v>
      </c>
    </row>
    <row r="5" spans="2:4" x14ac:dyDescent="0.3">
      <c r="B5" s="2" t="s">
        <v>18</v>
      </c>
      <c r="C5" s="4">
        <v>0.04</v>
      </c>
    </row>
    <row r="6" spans="2:4" x14ac:dyDescent="0.3">
      <c r="B6" s="2" t="s">
        <v>19</v>
      </c>
      <c r="C6" s="4">
        <v>0.1</v>
      </c>
    </row>
    <row r="7" spans="2:4" ht="3.6" customHeight="1" x14ac:dyDescent="0.3">
      <c r="B7" s="46"/>
      <c r="C7" s="47"/>
    </row>
    <row r="8" spans="2:4" x14ac:dyDescent="0.3">
      <c r="B8" s="44" t="s">
        <v>20</v>
      </c>
      <c r="C8" s="6">
        <f>(C3+C4)/(C6-C5)</f>
        <v>49.999999999999993</v>
      </c>
    </row>
    <row r="10" spans="2:4" x14ac:dyDescent="0.3">
      <c r="C10" s="40" t="s">
        <v>71</v>
      </c>
    </row>
  </sheetData>
  <mergeCells count="2">
    <mergeCell ref="B2:C2"/>
    <mergeCell ref="B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FCFAD-CA30-48C9-8016-34AD9FEF07CE}">
  <dimension ref="B1:E22"/>
  <sheetViews>
    <sheetView zoomScaleNormal="100" workbookViewId="0">
      <selection activeCell="H25" sqref="H25"/>
    </sheetView>
  </sheetViews>
  <sheetFormatPr defaultRowHeight="14.4" x14ac:dyDescent="0.3"/>
  <cols>
    <col min="1" max="1" width="10" customWidth="1"/>
    <col min="2" max="2" width="26" customWidth="1"/>
    <col min="3" max="3" width="27.5546875" customWidth="1"/>
    <col min="4" max="4" width="21" customWidth="1"/>
    <col min="5" max="5" width="14.33203125" customWidth="1"/>
  </cols>
  <sheetData>
    <row r="1" spans="2:5" ht="15.6" customHeight="1" x14ac:dyDescent="0.3">
      <c r="E1" s="1"/>
    </row>
    <row r="2" spans="2:5" ht="15.6" x14ac:dyDescent="0.3">
      <c r="B2" s="43" t="s">
        <v>21</v>
      </c>
      <c r="C2" s="43"/>
      <c r="D2" s="43"/>
    </row>
    <row r="3" spans="2:5" x14ac:dyDescent="0.3">
      <c r="B3" s="48" t="s">
        <v>22</v>
      </c>
      <c r="C3" s="48"/>
      <c r="D3" s="4">
        <v>0.1</v>
      </c>
    </row>
    <row r="4" spans="2:5" x14ac:dyDescent="0.3">
      <c r="B4" s="48" t="s">
        <v>23</v>
      </c>
      <c r="C4" s="48"/>
      <c r="D4" s="4">
        <v>0.04</v>
      </c>
    </row>
    <row r="5" spans="2:5" x14ac:dyDescent="0.3">
      <c r="B5" s="48" t="s">
        <v>24</v>
      </c>
      <c r="C5" s="48"/>
      <c r="D5" s="49">
        <v>500</v>
      </c>
    </row>
    <row r="6" spans="2:5" x14ac:dyDescent="0.3">
      <c r="B6" s="48" t="s">
        <v>25</v>
      </c>
      <c r="C6" s="48"/>
      <c r="D6" s="49">
        <v>100</v>
      </c>
    </row>
    <row r="7" spans="2:5" x14ac:dyDescent="0.3">
      <c r="B7" s="48" t="s">
        <v>26</v>
      </c>
      <c r="C7" s="48"/>
      <c r="D7" s="50">
        <v>100</v>
      </c>
    </row>
    <row r="8" spans="2:5" ht="4.8" customHeight="1" x14ac:dyDescent="0.3">
      <c r="B8" s="45"/>
      <c r="C8" s="45"/>
      <c r="D8" s="45"/>
    </row>
    <row r="9" spans="2:5" x14ac:dyDescent="0.3">
      <c r="B9" s="51" t="s">
        <v>27</v>
      </c>
      <c r="C9" s="51" t="s">
        <v>28</v>
      </c>
      <c r="D9" s="51" t="s">
        <v>29</v>
      </c>
    </row>
    <row r="10" spans="2:5" x14ac:dyDescent="0.3">
      <c r="B10" s="10">
        <v>1</v>
      </c>
      <c r="C10" s="11">
        <v>100</v>
      </c>
      <c r="D10" s="11">
        <f>C10/(1+$D$3)^B10</f>
        <v>90.909090909090907</v>
      </c>
    </row>
    <row r="11" spans="2:5" x14ac:dyDescent="0.3">
      <c r="B11" s="10">
        <v>2</v>
      </c>
      <c r="C11" s="11">
        <v>120</v>
      </c>
      <c r="D11" s="11">
        <f>C11/(1+$D$3)^B11</f>
        <v>99.173553719008254</v>
      </c>
    </row>
    <row r="12" spans="2:5" x14ac:dyDescent="0.3">
      <c r="B12" s="10">
        <v>3</v>
      </c>
      <c r="C12" s="11">
        <v>140</v>
      </c>
      <c r="D12" s="11">
        <f>C12/(1+$D$3)^B12</f>
        <v>105.18407212622085</v>
      </c>
    </row>
    <row r="13" spans="2:5" x14ac:dyDescent="0.3">
      <c r="B13" s="12" t="s">
        <v>30</v>
      </c>
      <c r="C13" s="12"/>
      <c r="D13" s="13">
        <f>SUM(D10:D12)</f>
        <v>295.26671675431999</v>
      </c>
    </row>
    <row r="14" spans="2:5" x14ac:dyDescent="0.3">
      <c r="B14" s="14" t="s">
        <v>13</v>
      </c>
      <c r="C14" s="15">
        <f>C12*(1+D4)/(D3-D4)</f>
        <v>2426.6666666666665</v>
      </c>
      <c r="D14" s="15">
        <f>C14/(1+$D$3)^B12</f>
        <v>1823.1905835211614</v>
      </c>
    </row>
    <row r="15" spans="2:5" ht="5.4" customHeight="1" x14ac:dyDescent="0.3">
      <c r="B15" s="17"/>
      <c r="C15" s="17"/>
      <c r="D15" s="17"/>
    </row>
    <row r="16" spans="2:5" x14ac:dyDescent="0.3">
      <c r="B16" s="9" t="s">
        <v>31</v>
      </c>
      <c r="C16" s="9"/>
      <c r="D16" s="16">
        <f>(D13+D14)</f>
        <v>2118.4573002754814</v>
      </c>
    </row>
    <row r="17" spans="2:4" ht="4.8" customHeight="1" x14ac:dyDescent="0.3">
      <c r="B17" s="17"/>
      <c r="C17" s="17"/>
      <c r="D17" s="17"/>
    </row>
    <row r="18" spans="2:4" x14ac:dyDescent="0.3">
      <c r="B18" s="9" t="s">
        <v>32</v>
      </c>
      <c r="C18" s="9"/>
      <c r="D18" s="18">
        <f>(D16-D5+D6)</f>
        <v>1718.4573002754814</v>
      </c>
    </row>
    <row r="19" spans="2:4" ht="4.8" customHeight="1" x14ac:dyDescent="0.3">
      <c r="B19" s="17"/>
      <c r="C19" s="17"/>
      <c r="D19" s="17"/>
    </row>
    <row r="20" spans="2:4" x14ac:dyDescent="0.3">
      <c r="B20" s="9" t="s">
        <v>33</v>
      </c>
      <c r="C20" s="9"/>
      <c r="D20" s="18">
        <f>(D18/D7)</f>
        <v>17.184573002754814</v>
      </c>
    </row>
    <row r="22" spans="2:4" x14ac:dyDescent="0.3">
      <c r="D22" s="40" t="s">
        <v>71</v>
      </c>
    </row>
  </sheetData>
  <mergeCells count="14">
    <mergeCell ref="B20:C20"/>
    <mergeCell ref="B19:D19"/>
    <mergeCell ref="B17:D17"/>
    <mergeCell ref="B15:D15"/>
    <mergeCell ref="B8:D8"/>
    <mergeCell ref="B2:D2"/>
    <mergeCell ref="B3:C3"/>
    <mergeCell ref="B4:C4"/>
    <mergeCell ref="B5:C5"/>
    <mergeCell ref="B6:C6"/>
    <mergeCell ref="B7:C7"/>
    <mergeCell ref="B13:C13"/>
    <mergeCell ref="B16:C16"/>
    <mergeCell ref="B18:C18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98353-BCEC-4F74-8FC9-C284B21F476B}">
  <dimension ref="B1:F14"/>
  <sheetViews>
    <sheetView zoomScaleNormal="100" workbookViewId="0">
      <selection activeCell="C17" sqref="C17"/>
    </sheetView>
  </sheetViews>
  <sheetFormatPr defaultRowHeight="14.4" x14ac:dyDescent="0.3"/>
  <cols>
    <col min="1" max="1" width="10.109375" customWidth="1"/>
    <col min="2" max="2" width="25.5546875" customWidth="1"/>
    <col min="3" max="3" width="21.88671875" customWidth="1"/>
    <col min="4" max="4" width="20.6640625" customWidth="1"/>
    <col min="5" max="5" width="22.109375" customWidth="1"/>
    <col min="6" max="6" width="12.88671875" customWidth="1"/>
  </cols>
  <sheetData>
    <row r="1" spans="2:6" ht="20.399999999999999" customHeight="1" x14ac:dyDescent="0.3">
      <c r="F1" s="1"/>
    </row>
    <row r="2" spans="2:6" ht="20.399999999999999" x14ac:dyDescent="0.3">
      <c r="B2" s="52" t="s">
        <v>21</v>
      </c>
      <c r="C2" s="52"/>
      <c r="D2" s="52"/>
      <c r="E2" s="52"/>
    </row>
    <row r="3" spans="2:6" ht="3.6" customHeight="1" x14ac:dyDescent="0.3">
      <c r="B3" s="17"/>
      <c r="C3" s="17"/>
      <c r="D3" s="17"/>
      <c r="E3" s="17"/>
    </row>
    <row r="4" spans="2:6" x14ac:dyDescent="0.3">
      <c r="B4" s="19" t="s">
        <v>34</v>
      </c>
      <c r="C4" s="19"/>
      <c r="D4" s="19"/>
      <c r="E4" s="20">
        <v>11</v>
      </c>
    </row>
    <row r="5" spans="2:6" x14ac:dyDescent="0.3">
      <c r="B5" s="21" t="s">
        <v>35</v>
      </c>
      <c r="C5" s="21" t="s">
        <v>36</v>
      </c>
      <c r="D5" s="21" t="s">
        <v>37</v>
      </c>
      <c r="E5" s="21" t="s">
        <v>38</v>
      </c>
    </row>
    <row r="6" spans="2:6" x14ac:dyDescent="0.3">
      <c r="B6" s="22" t="s">
        <v>39</v>
      </c>
      <c r="C6" s="23">
        <v>10</v>
      </c>
      <c r="D6" s="24">
        <v>150</v>
      </c>
      <c r="E6" s="24">
        <f>D6/C6</f>
        <v>15</v>
      </c>
    </row>
    <row r="7" spans="2:6" x14ac:dyDescent="0.3">
      <c r="B7" s="22" t="s">
        <v>40</v>
      </c>
      <c r="C7" s="23">
        <v>8</v>
      </c>
      <c r="D7" s="24">
        <v>128</v>
      </c>
      <c r="E7" s="24">
        <f t="shared" ref="E7:E9" si="0">D7/C7</f>
        <v>16</v>
      </c>
    </row>
    <row r="8" spans="2:6" x14ac:dyDescent="0.3">
      <c r="B8" s="22" t="s">
        <v>41</v>
      </c>
      <c r="C8" s="23">
        <v>12</v>
      </c>
      <c r="D8" s="24">
        <v>180</v>
      </c>
      <c r="E8" s="24">
        <f t="shared" si="0"/>
        <v>15</v>
      </c>
    </row>
    <row r="9" spans="2:6" x14ac:dyDescent="0.3">
      <c r="B9" s="22" t="s">
        <v>42</v>
      </c>
      <c r="C9" s="23">
        <v>9</v>
      </c>
      <c r="D9" s="24">
        <v>144</v>
      </c>
      <c r="E9" s="24">
        <f t="shared" si="0"/>
        <v>16</v>
      </c>
    </row>
    <row r="10" spans="2:6" x14ac:dyDescent="0.3">
      <c r="B10" s="12" t="s">
        <v>43</v>
      </c>
      <c r="C10" s="12"/>
      <c r="D10" s="12"/>
      <c r="E10" s="64">
        <f>SUM(E6:E9)/4</f>
        <v>15.5</v>
      </c>
    </row>
    <row r="11" spans="2:6" ht="3.6" customHeight="1" x14ac:dyDescent="0.3">
      <c r="B11" s="17"/>
      <c r="C11" s="17"/>
      <c r="D11" s="17"/>
      <c r="E11" s="17"/>
    </row>
    <row r="12" spans="2:6" x14ac:dyDescent="0.3">
      <c r="B12" s="65" t="s">
        <v>44</v>
      </c>
      <c r="C12" s="65"/>
      <c r="D12" s="65"/>
      <c r="E12" s="6">
        <f>(E10*E4)</f>
        <v>170.5</v>
      </c>
      <c r="F12" t="s">
        <v>45</v>
      </c>
    </row>
    <row r="14" spans="2:6" x14ac:dyDescent="0.3">
      <c r="E14" s="40" t="s">
        <v>71</v>
      </c>
    </row>
  </sheetData>
  <mergeCells count="6">
    <mergeCell ref="B12:D12"/>
    <mergeCell ref="B2:E2"/>
    <mergeCell ref="B4:D4"/>
    <mergeCell ref="B10:D10"/>
    <mergeCell ref="B11:E11"/>
    <mergeCell ref="B3:E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143AC-5E90-40C6-BAD4-40E8F6CC2A0F}">
  <dimension ref="B1:E8"/>
  <sheetViews>
    <sheetView zoomScaleNormal="100" workbookViewId="0">
      <selection activeCell="C28" sqref="C28"/>
    </sheetView>
  </sheetViews>
  <sheetFormatPr defaultRowHeight="14.4" x14ac:dyDescent="0.3"/>
  <cols>
    <col min="1" max="1" width="9.88671875" customWidth="1"/>
    <col min="2" max="2" width="20.109375" customWidth="1"/>
    <col min="3" max="3" width="18.109375" customWidth="1"/>
    <col min="4" max="4" width="19.6640625" customWidth="1"/>
    <col min="5" max="5" width="10.6640625" bestFit="1" customWidth="1"/>
  </cols>
  <sheetData>
    <row r="1" spans="2:5" x14ac:dyDescent="0.3">
      <c r="E1" s="1"/>
    </row>
    <row r="2" spans="2:5" ht="15.6" x14ac:dyDescent="0.3">
      <c r="B2" s="61" t="s">
        <v>46</v>
      </c>
      <c r="C2" s="62"/>
      <c r="D2" s="63"/>
    </row>
    <row r="3" spans="2:5" x14ac:dyDescent="0.3">
      <c r="B3" s="56" t="s">
        <v>47</v>
      </c>
      <c r="C3" s="57"/>
      <c r="D3" s="25">
        <v>0.06</v>
      </c>
    </row>
    <row r="4" spans="2:5" x14ac:dyDescent="0.3">
      <c r="B4" s="56" t="s">
        <v>48</v>
      </c>
      <c r="C4" s="57"/>
      <c r="D4" s="25">
        <v>0.12</v>
      </c>
    </row>
    <row r="5" spans="2:5" x14ac:dyDescent="0.3">
      <c r="B5" s="56" t="s">
        <v>49</v>
      </c>
      <c r="C5" s="57"/>
      <c r="D5" s="26">
        <v>1.3</v>
      </c>
    </row>
    <row r="6" spans="2:5" x14ac:dyDescent="0.3">
      <c r="B6" s="59" t="s">
        <v>50</v>
      </c>
      <c r="C6" s="60"/>
      <c r="D6" s="58">
        <f>D3+D5*(D4-D3)</f>
        <v>0.13800000000000001</v>
      </c>
    </row>
    <row r="7" spans="2:5" x14ac:dyDescent="0.3">
      <c r="B7" s="53"/>
      <c r="C7" s="53"/>
      <c r="D7" s="53"/>
    </row>
    <row r="8" spans="2:5" x14ac:dyDescent="0.3">
      <c r="D8" s="40" t="s">
        <v>70</v>
      </c>
    </row>
  </sheetData>
  <mergeCells count="5">
    <mergeCell ref="B6:C6"/>
    <mergeCell ref="B3:C3"/>
    <mergeCell ref="B4:C4"/>
    <mergeCell ref="B5:C5"/>
    <mergeCell ref="B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27E82-3DB2-4597-9FB9-7C610EB3A1ED}">
  <dimension ref="B1:E13"/>
  <sheetViews>
    <sheetView zoomScaleNormal="100" workbookViewId="0">
      <selection activeCell="F26" sqref="F26"/>
    </sheetView>
  </sheetViews>
  <sheetFormatPr defaultRowHeight="14.4" x14ac:dyDescent="0.3"/>
  <cols>
    <col min="1" max="1" width="9.6640625" customWidth="1"/>
    <col min="2" max="2" width="23.88671875" customWidth="1"/>
    <col min="3" max="3" width="25.21875" customWidth="1"/>
    <col min="4" max="4" width="21.44140625" customWidth="1"/>
    <col min="5" max="5" width="10.33203125" bestFit="1" customWidth="1"/>
  </cols>
  <sheetData>
    <row r="1" spans="2:5" x14ac:dyDescent="0.3">
      <c r="E1" s="1"/>
    </row>
    <row r="2" spans="2:5" ht="15.6" x14ac:dyDescent="0.3">
      <c r="B2" s="61" t="s">
        <v>51</v>
      </c>
      <c r="C2" s="62"/>
      <c r="D2" s="63"/>
    </row>
    <row r="3" spans="2:5" x14ac:dyDescent="0.3">
      <c r="B3" s="56" t="s">
        <v>47</v>
      </c>
      <c r="C3" s="57"/>
      <c r="D3" s="25">
        <v>0.06</v>
      </c>
    </row>
    <row r="4" spans="2:5" x14ac:dyDescent="0.3">
      <c r="B4" s="56" t="s">
        <v>48</v>
      </c>
      <c r="C4" s="57"/>
      <c r="D4" s="25">
        <v>0.12</v>
      </c>
    </row>
    <row r="5" spans="2:5" x14ac:dyDescent="0.3">
      <c r="B5" s="56" t="s">
        <v>49</v>
      </c>
      <c r="C5" s="57"/>
      <c r="D5" s="26">
        <v>1.3</v>
      </c>
    </row>
    <row r="6" spans="2:5" ht="4.8" customHeight="1" x14ac:dyDescent="0.3">
      <c r="B6" s="27"/>
      <c r="C6" s="28"/>
      <c r="D6" s="29"/>
    </row>
    <row r="7" spans="2:5" x14ac:dyDescent="0.3">
      <c r="B7" s="59" t="s">
        <v>52</v>
      </c>
      <c r="C7" s="60"/>
      <c r="D7" s="58">
        <f>(D4-D3)</f>
        <v>0.06</v>
      </c>
    </row>
    <row r="8" spans="2:5" ht="4.8" customHeight="1" x14ac:dyDescent="0.3">
      <c r="B8" s="30"/>
      <c r="C8" s="31"/>
      <c r="D8" s="32"/>
    </row>
    <row r="9" spans="2:5" x14ac:dyDescent="0.3">
      <c r="B9" s="59" t="s">
        <v>53</v>
      </c>
      <c r="C9" s="60"/>
      <c r="D9" s="58">
        <f>D5*(D4-D3)</f>
        <v>7.8E-2</v>
      </c>
    </row>
    <row r="10" spans="2:5" ht="4.8" customHeight="1" x14ac:dyDescent="0.3">
      <c r="B10" s="30"/>
      <c r="C10" s="31"/>
      <c r="D10" s="32"/>
    </row>
    <row r="11" spans="2:5" x14ac:dyDescent="0.3">
      <c r="B11" s="59" t="s">
        <v>50</v>
      </c>
      <c r="C11" s="60"/>
      <c r="D11" s="58">
        <f>D3+D5*(D4-D3)</f>
        <v>0.13800000000000001</v>
      </c>
    </row>
    <row r="13" spans="2:5" x14ac:dyDescent="0.3">
      <c r="D13" s="40" t="s">
        <v>70</v>
      </c>
    </row>
  </sheetData>
  <mergeCells count="10">
    <mergeCell ref="B11:C11"/>
    <mergeCell ref="B8:D8"/>
    <mergeCell ref="B6:D6"/>
    <mergeCell ref="B10:D10"/>
    <mergeCell ref="B2:D2"/>
    <mergeCell ref="B3:C3"/>
    <mergeCell ref="B4:C4"/>
    <mergeCell ref="B5:C5"/>
    <mergeCell ref="B7:C7"/>
    <mergeCell ref="B9:C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B5D5-BA85-49B4-9D4C-F6D1D4D93A44}">
  <dimension ref="B1:E8"/>
  <sheetViews>
    <sheetView zoomScaleNormal="100" workbookViewId="0">
      <selection activeCell="D17" sqref="D17"/>
    </sheetView>
  </sheetViews>
  <sheetFormatPr defaultRowHeight="14.4" x14ac:dyDescent="0.3"/>
  <cols>
    <col min="1" max="1" width="7.77734375" customWidth="1"/>
    <col min="2" max="2" width="20.44140625" customWidth="1"/>
    <col min="3" max="3" width="18.33203125" customWidth="1"/>
    <col min="4" max="4" width="20" customWidth="1"/>
    <col min="5" max="5" width="10.33203125" bestFit="1" customWidth="1"/>
  </cols>
  <sheetData>
    <row r="1" spans="2:5" x14ac:dyDescent="0.3">
      <c r="E1" s="1"/>
    </row>
    <row r="2" spans="2:5" ht="15.6" x14ac:dyDescent="0.3">
      <c r="B2" s="61" t="s">
        <v>54</v>
      </c>
      <c r="C2" s="62"/>
      <c r="D2" s="63"/>
    </row>
    <row r="3" spans="2:5" x14ac:dyDescent="0.3">
      <c r="B3" s="56" t="s">
        <v>47</v>
      </c>
      <c r="C3" s="57"/>
      <c r="D3" s="25">
        <v>0.06</v>
      </c>
    </row>
    <row r="4" spans="2:5" x14ac:dyDescent="0.3">
      <c r="B4" s="56" t="s">
        <v>48</v>
      </c>
      <c r="C4" s="57"/>
      <c r="D4" s="25">
        <v>0.12</v>
      </c>
    </row>
    <row r="5" spans="2:5" x14ac:dyDescent="0.3">
      <c r="B5" s="56" t="s">
        <v>49</v>
      </c>
      <c r="C5" s="57"/>
      <c r="D5" s="26">
        <v>1.2</v>
      </c>
    </row>
    <row r="6" spans="2:5" x14ac:dyDescent="0.3">
      <c r="B6" s="59" t="s">
        <v>55</v>
      </c>
      <c r="C6" s="60"/>
      <c r="D6" s="58">
        <f>D3+D5*(D4-D3)</f>
        <v>0.13200000000000001</v>
      </c>
    </row>
    <row r="8" spans="2:5" x14ac:dyDescent="0.3">
      <c r="D8" s="40" t="s">
        <v>70</v>
      </c>
    </row>
  </sheetData>
  <mergeCells count="5">
    <mergeCell ref="B6:C6"/>
    <mergeCell ref="B2:D2"/>
    <mergeCell ref="B3:C3"/>
    <mergeCell ref="B4:C4"/>
    <mergeCell ref="B5:C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DC095-2661-4EDC-8737-CBA269B3E09E}">
  <dimension ref="B1:E17"/>
  <sheetViews>
    <sheetView zoomScaleNormal="100" workbookViewId="0">
      <selection activeCell="D23" sqref="D23"/>
    </sheetView>
  </sheetViews>
  <sheetFormatPr defaultRowHeight="14.4" x14ac:dyDescent="0.3"/>
  <cols>
    <col min="1" max="1" width="8.21875" customWidth="1"/>
    <col min="2" max="2" width="23" customWidth="1"/>
    <col min="3" max="3" width="23.77734375" customWidth="1"/>
    <col min="4" max="4" width="20" customWidth="1"/>
    <col min="5" max="5" width="19.77734375" customWidth="1"/>
  </cols>
  <sheetData>
    <row r="1" spans="2:5" x14ac:dyDescent="0.3">
      <c r="E1" s="1"/>
    </row>
    <row r="2" spans="2:5" x14ac:dyDescent="0.3">
      <c r="B2" s="35" t="s">
        <v>64</v>
      </c>
      <c r="C2" s="35"/>
      <c r="D2" s="35"/>
    </row>
    <row r="3" spans="2:5" ht="5.4" customHeight="1" x14ac:dyDescent="0.3">
      <c r="B3" s="27"/>
      <c r="C3" s="28"/>
      <c r="D3" s="29"/>
    </row>
    <row r="4" spans="2:5" x14ac:dyDescent="0.3">
      <c r="B4" s="36" t="s">
        <v>65</v>
      </c>
      <c r="C4" s="36" t="s">
        <v>66</v>
      </c>
      <c r="D4" s="36" t="s">
        <v>48</v>
      </c>
    </row>
    <row r="5" spans="2:5" x14ac:dyDescent="0.3">
      <c r="B5" s="10">
        <v>1</v>
      </c>
      <c r="C5" s="37">
        <v>0.03</v>
      </c>
      <c r="D5" s="37">
        <v>0.02</v>
      </c>
    </row>
    <row r="6" spans="2:5" x14ac:dyDescent="0.3">
      <c r="B6" s="10">
        <v>2</v>
      </c>
      <c r="C6" s="37">
        <v>0.04</v>
      </c>
      <c r="D6" s="37">
        <v>0.03</v>
      </c>
    </row>
    <row r="7" spans="2:5" x14ac:dyDescent="0.3">
      <c r="B7" s="10">
        <v>3</v>
      </c>
      <c r="C7" s="37">
        <v>-0.01</v>
      </c>
      <c r="D7" s="37">
        <v>-0.02</v>
      </c>
    </row>
    <row r="8" spans="2:5" x14ac:dyDescent="0.3">
      <c r="B8" s="10">
        <v>4</v>
      </c>
      <c r="C8" s="37">
        <v>0.05</v>
      </c>
      <c r="D8" s="37">
        <v>0.03</v>
      </c>
    </row>
    <row r="9" spans="2:5" x14ac:dyDescent="0.3">
      <c r="B9" s="10">
        <v>5</v>
      </c>
      <c r="C9" s="37">
        <v>0.02</v>
      </c>
      <c r="D9" s="37">
        <v>0.01</v>
      </c>
    </row>
    <row r="10" spans="2:5" x14ac:dyDescent="0.3">
      <c r="B10" s="10">
        <v>6</v>
      </c>
      <c r="C10" s="37">
        <v>0.06</v>
      </c>
      <c r="D10" s="37">
        <v>0.04</v>
      </c>
    </row>
    <row r="11" spans="2:5" ht="5.4" customHeight="1" x14ac:dyDescent="0.3">
      <c r="B11" s="46"/>
      <c r="C11" s="67"/>
      <c r="D11" s="47"/>
    </row>
    <row r="12" spans="2:5" x14ac:dyDescent="0.3">
      <c r="B12" s="69" t="s">
        <v>67</v>
      </c>
      <c r="C12" s="69"/>
      <c r="D12" s="70">
        <f>_xlfn.COVARIANCE.P(C5:C10,D5:D10)</f>
        <v>4.3611111111111107E-4</v>
      </c>
    </row>
    <row r="13" spans="2:5" x14ac:dyDescent="0.3">
      <c r="B13" s="69" t="s">
        <v>68</v>
      </c>
      <c r="C13" s="69"/>
      <c r="D13" s="71">
        <f>_xlfn.VAR.P(D5:D10)</f>
        <v>3.8055555555555564E-4</v>
      </c>
    </row>
    <row r="14" spans="2:5" x14ac:dyDescent="0.3">
      <c r="B14" s="68" t="s">
        <v>69</v>
      </c>
      <c r="C14" s="72"/>
      <c r="D14" s="5">
        <f>D12/D13</f>
        <v>1.1459854014598536</v>
      </c>
      <c r="E14" t="s">
        <v>74</v>
      </c>
    </row>
    <row r="15" spans="2:5" x14ac:dyDescent="0.3">
      <c r="B15" s="68" t="s">
        <v>69</v>
      </c>
      <c r="C15" s="72"/>
      <c r="D15" s="5">
        <f>SLOPE(C5:C10,D5:D10)</f>
        <v>1.1459854014598538</v>
      </c>
      <c r="E15" t="s">
        <v>73</v>
      </c>
    </row>
    <row r="17" spans="4:4" x14ac:dyDescent="0.3">
      <c r="D17" s="40" t="s">
        <v>70</v>
      </c>
    </row>
  </sheetData>
  <mergeCells count="3">
    <mergeCell ref="B2:D2"/>
    <mergeCell ref="B11:D11"/>
    <mergeCell ref="B3:D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5C855-371E-42E7-84E3-DE611B97FAAB}">
  <dimension ref="B1:D14"/>
  <sheetViews>
    <sheetView tabSelected="1" zoomScaleNormal="100" workbookViewId="0">
      <selection activeCell="I24" sqref="I24"/>
    </sheetView>
  </sheetViews>
  <sheetFormatPr defaultRowHeight="14.4" x14ac:dyDescent="0.3"/>
  <cols>
    <col min="1" max="1" width="9" customWidth="1"/>
    <col min="2" max="2" width="38.33203125" customWidth="1"/>
    <col min="3" max="3" width="23.44140625" customWidth="1"/>
    <col min="4" max="4" width="12.88671875" customWidth="1"/>
  </cols>
  <sheetData>
    <row r="1" spans="2:4" x14ac:dyDescent="0.3">
      <c r="D1" s="1"/>
    </row>
    <row r="2" spans="2:4" ht="17.399999999999999" x14ac:dyDescent="0.3">
      <c r="B2" s="33" t="s">
        <v>56</v>
      </c>
      <c r="C2" s="33"/>
    </row>
    <row r="3" spans="2:4" x14ac:dyDescent="0.3">
      <c r="B3" s="34" t="s">
        <v>57</v>
      </c>
      <c r="C3" s="25">
        <v>0.1</v>
      </c>
    </row>
    <row r="4" spans="2:4" x14ac:dyDescent="0.3">
      <c r="B4" s="34" t="s">
        <v>58</v>
      </c>
      <c r="C4" s="25">
        <v>0.12</v>
      </c>
    </row>
    <row r="5" spans="2:4" x14ac:dyDescent="0.3">
      <c r="B5" s="34" t="s">
        <v>59</v>
      </c>
      <c r="C5" s="25">
        <v>8.5000000000000006E-2</v>
      </c>
    </row>
    <row r="6" spans="2:4" x14ac:dyDescent="0.3">
      <c r="B6" s="34" t="s">
        <v>60</v>
      </c>
      <c r="C6" s="25">
        <v>0.3</v>
      </c>
    </row>
    <row r="7" spans="2:4" ht="5.4" customHeight="1" x14ac:dyDescent="0.3">
      <c r="B7" s="45"/>
      <c r="C7" s="45"/>
    </row>
    <row r="8" spans="2:4" x14ac:dyDescent="0.3">
      <c r="B8" s="66" t="s">
        <v>61</v>
      </c>
      <c r="C8" s="58">
        <f>C3*(1-C6)</f>
        <v>6.9999999999999993E-2</v>
      </c>
    </row>
    <row r="9" spans="2:4" ht="6" customHeight="1" x14ac:dyDescent="0.3">
      <c r="B9" s="45"/>
      <c r="C9" s="45"/>
    </row>
    <row r="10" spans="2:4" x14ac:dyDescent="0.3">
      <c r="B10" s="66" t="s">
        <v>62</v>
      </c>
      <c r="C10" s="58">
        <f>C4*(1-C6)</f>
        <v>8.3999999999999991E-2</v>
      </c>
    </row>
    <row r="11" spans="2:4" ht="5.4" customHeight="1" x14ac:dyDescent="0.3">
      <c r="B11" s="45"/>
      <c r="C11" s="45"/>
    </row>
    <row r="12" spans="2:4" x14ac:dyDescent="0.3">
      <c r="B12" s="66" t="s">
        <v>63</v>
      </c>
      <c r="C12" s="58">
        <f>C5*(1-C6)</f>
        <v>5.9499999999999997E-2</v>
      </c>
    </row>
    <row r="14" spans="2:4" x14ac:dyDescent="0.3">
      <c r="C14" s="40" t="s">
        <v>70</v>
      </c>
    </row>
  </sheetData>
  <mergeCells count="4">
    <mergeCell ref="B2:C2"/>
    <mergeCell ref="B7:C7"/>
    <mergeCell ref="B9:C9"/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P13-Zero-Growth Model</vt:lpstr>
      <vt:lpstr>P14-Gordan Growth Model</vt:lpstr>
      <vt:lpstr>P15-Multi-Stage Growth Model</vt:lpstr>
      <vt:lpstr>P16-Total Payout Model</vt:lpstr>
      <vt:lpstr>P17-FCF Model</vt:lpstr>
      <vt:lpstr>P18-Valuation Model</vt:lpstr>
      <vt:lpstr>P19-CAPM</vt:lpstr>
      <vt:lpstr>P20-Determining the risk premiu</vt:lpstr>
      <vt:lpstr>P21-Equity Cost Of Capital(Ke)</vt:lpstr>
      <vt:lpstr>P22-Beta Estimation</vt:lpstr>
      <vt:lpstr>P23-Debt Cost of Capital(Kd)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Anisha Khandare</dc:creator>
  <cp:lastModifiedBy>Anisha Khandare</cp:lastModifiedBy>
  <dcterms:created xsi:type="dcterms:W3CDTF">2026-01-20T17:09:41Z</dcterms:created>
  <dcterms:modified xsi:type="dcterms:W3CDTF">2026-01-21T09:17:19Z</dcterms:modified>
</cp:coreProperties>
</file>