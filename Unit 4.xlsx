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3d9a08e9c0d11e/ドキュメント/"/>
    </mc:Choice>
  </mc:AlternateContent>
  <xr:revisionPtr revIDLastSave="0" documentId="8_{04E763F8-B31A-40CF-A386-B9749F6DF5AE}" xr6:coauthVersionLast="47" xr6:coauthVersionMax="47" xr10:uidLastSave="{00000000-0000-0000-0000-000000000000}"/>
  <bookViews>
    <workbookView xWindow="-108" yWindow="-108" windowWidth="23256" windowHeight="12456" firstSheet="1" activeTab="3" xr2:uid="{BF0CC4D1-660C-4E1A-A2BD-1BDDA407E349}"/>
  </bookViews>
  <sheets>
    <sheet name="P24-Modigliani–Miller Pro-I" sheetId="1" r:id="rId1"/>
    <sheet name="P25-Modigliani–Miller Pro-II" sheetId="2" r:id="rId2"/>
    <sheet name="P26-Interest Tax Deduction" sheetId="3" r:id="rId3"/>
    <sheet name="P27-Valuing the Interest Tax Sh" sheetId="4" r:id="rId4"/>
    <sheet name="P28-Recapitalization" sheetId="5" r:id="rId5"/>
    <sheet name="P29-Personal Taxes in C.S." sheetId="6" r:id="rId6"/>
    <sheet name="P30-Optimal Capital Structure " sheetId="7" r:id="rId7"/>
    <sheet name="P31-Cost of Bankruptcy" sheetId="8" r:id="rId8"/>
    <sheet name="P32-FD Cost and firm value" sheetId="9" r:id="rId9"/>
    <sheet name="P33-The Trade-Off Theory" sheetId="10" r:id="rId10"/>
    <sheet name="P34-Risk and Return" sheetId="11" r:id="rId11"/>
    <sheet name="P35-Measures of Risk and Return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2" l="1"/>
  <c r="C26" i="12"/>
  <c r="C24" i="12"/>
  <c r="C22" i="12"/>
  <c r="C20" i="12"/>
  <c r="D18" i="12"/>
  <c r="C18" i="12"/>
  <c r="D16" i="12"/>
  <c r="C16" i="12"/>
  <c r="D14" i="12"/>
  <c r="C14" i="12"/>
  <c r="D12" i="12"/>
  <c r="C12" i="12"/>
  <c r="D10" i="12"/>
  <c r="C10" i="12"/>
  <c r="C28" i="12" s="1"/>
  <c r="D12" i="11"/>
  <c r="C12" i="11"/>
  <c r="D10" i="11"/>
  <c r="C10" i="11"/>
  <c r="D13" i="10"/>
  <c r="D15" i="10" s="1"/>
  <c r="D11" i="10"/>
  <c r="D9" i="10"/>
  <c r="D16" i="9"/>
  <c r="D14" i="9"/>
  <c r="D12" i="9"/>
  <c r="D10" i="9"/>
  <c r="D13" i="8"/>
  <c r="D11" i="8"/>
  <c r="D9" i="8"/>
  <c r="D13" i="7"/>
  <c r="D11" i="7"/>
  <c r="D9" i="7"/>
  <c r="D7" i="6"/>
  <c r="D9" i="6" s="1"/>
  <c r="D17" i="5"/>
  <c r="D15" i="5"/>
  <c r="D13" i="5"/>
  <c r="D11" i="5"/>
  <c r="D9" i="5"/>
  <c r="D9" i="4"/>
  <c r="D7" i="4"/>
  <c r="D11" i="3"/>
  <c r="D9" i="3"/>
  <c r="D7" i="3"/>
  <c r="D11" i="2"/>
  <c r="D9" i="2"/>
  <c r="D13" i="2" s="1"/>
  <c r="D7" i="2"/>
  <c r="D8" i="1"/>
  <c r="D10" i="1" s="1"/>
</calcChain>
</file>

<file path=xl/sharedStrings.xml><?xml version="1.0" encoding="utf-8"?>
<sst xmlns="http://schemas.openxmlformats.org/spreadsheetml/2006/main" count="123" uniqueCount="71">
  <si>
    <t xml:space="preserve">Modigliani–Miller Proposition - I  </t>
  </si>
  <si>
    <t>EBIT</t>
  </si>
  <si>
    <t>Cost of Equity for Unleveraged</t>
  </si>
  <si>
    <t>Debt Interest Rate</t>
  </si>
  <si>
    <t>Cost of Debt for Leveraged</t>
  </si>
  <si>
    <t>Value of Unleveraged Firm</t>
  </si>
  <si>
    <t>Equity Value of Firm</t>
  </si>
  <si>
    <t>Date: 21-01-2026</t>
  </si>
  <si>
    <t xml:space="preserve">Modigliani–Miller Proposition - II  </t>
  </si>
  <si>
    <t>Unlevered cost of equity (rU)</t>
  </si>
  <si>
    <t>Cost of debt (rD)</t>
  </si>
  <si>
    <t>D/E ratio</t>
  </si>
  <si>
    <t>Levered Cost of Equity (rE)</t>
  </si>
  <si>
    <t>E/V</t>
  </si>
  <si>
    <t>D/V</t>
  </si>
  <si>
    <t>WACC</t>
  </si>
  <si>
    <t>Interest Tax Deduction</t>
  </si>
  <si>
    <t xml:space="preserve">Debt </t>
  </si>
  <si>
    <t>Interest Rate</t>
  </si>
  <si>
    <t>Tax Rate</t>
  </si>
  <si>
    <t xml:space="preserve">Interest </t>
  </si>
  <si>
    <t>Tax Shield</t>
  </si>
  <si>
    <t xml:space="preserve">After-Tax Cost of Debt </t>
  </si>
  <si>
    <t>Valuing the Interest Tax Shield</t>
  </si>
  <si>
    <t>PV (Tax Shield)</t>
  </si>
  <si>
    <t>Recapitalization</t>
  </si>
  <si>
    <t>Current firm value (VU)</t>
  </si>
  <si>
    <t xml:space="preserve">New Debt (D) </t>
  </si>
  <si>
    <t>Tax Rate (T)</t>
  </si>
  <si>
    <t>Shares outstanding</t>
  </si>
  <si>
    <t>Share price</t>
  </si>
  <si>
    <t xml:space="preserve">New Firm Value </t>
  </si>
  <si>
    <t>Number of Shares Repurchased</t>
  </si>
  <si>
    <t>New Shares Outstanding</t>
  </si>
  <si>
    <t>New Share Price</t>
  </si>
  <si>
    <t>.</t>
  </si>
  <si>
    <t>Personal Taxes in Capital Structure</t>
  </si>
  <si>
    <t>Corporate tax (TC)</t>
  </si>
  <si>
    <t>Personal tax on interest (TpD)</t>
  </si>
  <si>
    <t>Personal tax on equity (TpE)</t>
  </si>
  <si>
    <t>Effective Tax Advantage of Debt</t>
  </si>
  <si>
    <t xml:space="preserve">Optimal Capital Structure with Taxes </t>
  </si>
  <si>
    <t>Unlevered firm Value (Vu)</t>
  </si>
  <si>
    <t>Debt (D)</t>
  </si>
  <si>
    <t xml:space="preserve">Tax rate </t>
  </si>
  <si>
    <t xml:space="preserve">Distress Probability </t>
  </si>
  <si>
    <t>Distress Cost</t>
  </si>
  <si>
    <t xml:space="preserve">Expected Distress Cost </t>
  </si>
  <si>
    <t xml:space="preserve">Levered Firm Value </t>
  </si>
  <si>
    <t>Date: 22-01-2026</t>
  </si>
  <si>
    <t>The Costs of Bankruptcy and Financial Distress</t>
  </si>
  <si>
    <t xml:space="preserve">Interest rate </t>
  </si>
  <si>
    <t>Net Gain</t>
  </si>
  <si>
    <t>The Trade-Off Theory</t>
  </si>
  <si>
    <t>Risk and Return</t>
  </si>
  <si>
    <t>Year</t>
  </si>
  <si>
    <t>Stock A</t>
  </si>
  <si>
    <t>Bond B</t>
  </si>
  <si>
    <t>Average Return</t>
  </si>
  <si>
    <t>Standard Deviation (Risk)</t>
  </si>
  <si>
    <t>Measures of Risk and Return</t>
  </si>
  <si>
    <t>Arithmetic Average Return</t>
  </si>
  <si>
    <t>Geometric Average Return</t>
  </si>
  <si>
    <t>Variance of Returns</t>
  </si>
  <si>
    <t>Coefficient of Variation (CV)</t>
  </si>
  <si>
    <t>Covariance Between Assets</t>
  </si>
  <si>
    <t>Correlation Coefficient</t>
  </si>
  <si>
    <t>Beta (Systematic Risk)</t>
  </si>
  <si>
    <t>Sharpe Ratio (Risk-Adjusted Return)</t>
  </si>
  <si>
    <t>Treynor Ratio</t>
  </si>
  <si>
    <t>Jensen’s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</si>
</sst>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-4009]\ #,##0.00"/>
    <numFmt numFmtId="165" formatCode="0.000%"/>
    <numFmt numFmtId="166" formatCode="0.000000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0" borderId="0"/>
  </cellStyleXfs>
  <cellXfs count="72">
    <xf numFmtId="0" fontId="0" fillId="0" borderId="0" xfId="0"/>
    <xf numFmtId="14" fontId="0" fillId="0" borderId="0" xfId="0" applyNumberFormat="1"/>
    <xf numFmtId="0" fontId="1" fillId="5" borderId="3" xfId="5" applyBorder="1" applyAlignment="1">
      <alignment horizontal="left"/>
    </xf>
    <xf numFmtId="164" fontId="1" fillId="5" borderId="3" xfId="5" applyNumberFormat="1" applyBorder="1" applyAlignment="1">
      <alignment horizontal="center"/>
    </xf>
    <xf numFmtId="10" fontId="1" fillId="5" borderId="3" xfId="5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6" borderId="3" xfId="6" applyFont="1" applyBorder="1" applyAlignment="1">
      <alignment horizontal="left" vertical="center"/>
    </xf>
    <xf numFmtId="164" fontId="1" fillId="6" borderId="3" xfId="6" applyNumberFormat="1" applyBorder="1" applyAlignment="1">
      <alignment horizontal="center" vertical="center"/>
    </xf>
    <xf numFmtId="0" fontId="5" fillId="0" borderId="0" xfId="7" applyAlignment="1">
      <alignment horizontal="center" vertical="center"/>
    </xf>
    <xf numFmtId="0" fontId="3" fillId="3" borderId="1" xfId="3" applyAlignment="1">
      <alignment horizontal="right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6" borderId="4" xfId="6" applyFont="1" applyBorder="1" applyAlignment="1">
      <alignment horizontal="left"/>
    </xf>
    <xf numFmtId="0" fontId="4" fillId="6" borderId="6" xfId="6" applyFont="1" applyBorder="1" applyAlignment="1">
      <alignment horizontal="left"/>
    </xf>
    <xf numFmtId="10" fontId="1" fillId="6" borderId="3" xfId="6" applyNumberFormat="1" applyBorder="1" applyAlignment="1">
      <alignment horizontal="center"/>
    </xf>
    <xf numFmtId="0" fontId="5" fillId="0" borderId="4" xfId="7" applyBorder="1" applyAlignment="1">
      <alignment horizontal="center"/>
    </xf>
    <xf numFmtId="0" fontId="5" fillId="0" borderId="5" xfId="7" applyBorder="1" applyAlignment="1">
      <alignment horizontal="center"/>
    </xf>
    <xf numFmtId="0" fontId="5" fillId="0" borderId="6" xfId="7" applyBorder="1" applyAlignment="1">
      <alignment horizontal="center"/>
    </xf>
    <xf numFmtId="0" fontId="4" fillId="6" borderId="4" xfId="6" applyFont="1" applyBorder="1" applyAlignment="1">
      <alignment horizontal="left" vertical="center"/>
    </xf>
    <xf numFmtId="0" fontId="4" fillId="6" borderId="6" xfId="6" applyFont="1" applyBorder="1" applyAlignment="1">
      <alignment horizontal="left" vertical="center"/>
    </xf>
    <xf numFmtId="10" fontId="1" fillId="6" borderId="3" xfId="6" applyNumberFormat="1" applyBorder="1" applyAlignment="1">
      <alignment horizontal="center" vertical="center"/>
    </xf>
    <xf numFmtId="0" fontId="7" fillId="4" borderId="3" xfId="4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4" fillId="6" borderId="3" xfId="6" applyFont="1" applyBorder="1" applyAlignment="1">
      <alignment horizontal="left"/>
    </xf>
    <xf numFmtId="164" fontId="1" fillId="6" borderId="3" xfId="6" applyNumberFormat="1" applyBorder="1" applyAlignment="1">
      <alignment horizontal="center"/>
    </xf>
    <xf numFmtId="0" fontId="5" fillId="0" borderId="3" xfId="7" applyBorder="1" applyAlignment="1">
      <alignment horizontal="center"/>
    </xf>
    <xf numFmtId="0" fontId="5" fillId="0" borderId="3" xfId="7" applyBorder="1" applyAlignment="1">
      <alignment horizontal="center" vertical="center"/>
    </xf>
    <xf numFmtId="0" fontId="7" fillId="4" borderId="4" xfId="4" applyFont="1" applyBorder="1" applyAlignment="1">
      <alignment horizontal="center"/>
    </xf>
    <xf numFmtId="0" fontId="7" fillId="4" borderId="5" xfId="4" applyFont="1" applyBorder="1" applyAlignment="1">
      <alignment horizontal="center"/>
    </xf>
    <xf numFmtId="0" fontId="7" fillId="4" borderId="6" xfId="4" applyFont="1" applyBorder="1" applyAlignment="1">
      <alignment horizontal="center"/>
    </xf>
    <xf numFmtId="0" fontId="1" fillId="5" borderId="4" xfId="5" applyBorder="1" applyAlignment="1">
      <alignment horizontal="left"/>
    </xf>
    <xf numFmtId="0" fontId="1" fillId="5" borderId="6" xfId="5" applyBorder="1" applyAlignment="1">
      <alignment horizontal="left"/>
    </xf>
    <xf numFmtId="2" fontId="1" fillId="5" borderId="3" xfId="5" applyNumberFormat="1" applyBorder="1" applyAlignment="1">
      <alignment horizontal="center"/>
    </xf>
    <xf numFmtId="2" fontId="1" fillId="6" borderId="3" xfId="6" applyNumberFormat="1" applyBorder="1" applyAlignment="1">
      <alignment horizontal="center" vertical="center"/>
    </xf>
    <xf numFmtId="0" fontId="1" fillId="6" borderId="3" xfId="6" applyNumberFormat="1" applyBorder="1" applyAlignment="1">
      <alignment horizontal="center"/>
    </xf>
    <xf numFmtId="0" fontId="8" fillId="4" borderId="3" xfId="4" applyFont="1" applyBorder="1" applyAlignment="1">
      <alignment horizontal="center"/>
    </xf>
    <xf numFmtId="0" fontId="1" fillId="5" borderId="3" xfId="5" applyBorder="1" applyAlignment="1"/>
    <xf numFmtId="164" fontId="0" fillId="6" borderId="3" xfId="6" applyNumberFormat="1" applyFont="1" applyBorder="1" applyAlignment="1">
      <alignment horizontal="center" vertical="center"/>
    </xf>
    <xf numFmtId="0" fontId="2" fillId="2" borderId="3" xfId="2" applyBorder="1" applyAlignment="1">
      <alignment horizontal="center" vertical="center"/>
    </xf>
    <xf numFmtId="0" fontId="1" fillId="5" borderId="3" xfId="5" applyBorder="1" applyAlignment="1">
      <alignment horizontal="center" vertical="center"/>
    </xf>
    <xf numFmtId="9" fontId="1" fillId="5" borderId="3" xfId="5" applyNumberFormat="1" applyBorder="1" applyAlignment="1">
      <alignment horizontal="center" vertical="center"/>
    </xf>
    <xf numFmtId="10" fontId="1" fillId="5" borderId="3" xfId="1" applyNumberFormat="1" applyFont="1" applyFill="1" applyBorder="1" applyAlignment="1">
      <alignment horizontal="center" vertical="center"/>
    </xf>
    <xf numFmtId="0" fontId="4" fillId="6" borderId="3" xfId="6" applyFont="1" applyBorder="1" applyAlignment="1"/>
    <xf numFmtId="0" fontId="6" fillId="0" borderId="4" xfId="7" applyFont="1" applyBorder="1" applyAlignment="1">
      <alignment horizontal="center" vertical="center"/>
    </xf>
    <xf numFmtId="0" fontId="6" fillId="0" borderId="5" xfId="7" applyFont="1" applyBorder="1" applyAlignment="1">
      <alignment horizontal="center" vertical="center"/>
    </xf>
    <xf numFmtId="0" fontId="6" fillId="0" borderId="6" xfId="7" applyFont="1" applyBorder="1" applyAlignment="1">
      <alignment horizontal="center" vertical="center"/>
    </xf>
    <xf numFmtId="9" fontId="2" fillId="2" borderId="3" xfId="2" applyNumberFormat="1" applyBorder="1" applyAlignment="1">
      <alignment horizontal="center" vertical="center"/>
    </xf>
    <xf numFmtId="0" fontId="4" fillId="6" borderId="3" xfId="6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5" fontId="1" fillId="6" borderId="3" xfId="6" applyNumberFormat="1" applyBorder="1" applyAlignment="1">
      <alignment horizontal="center"/>
    </xf>
    <xf numFmtId="166" fontId="1" fillId="6" borderId="3" xfId="6" applyNumberFormat="1" applyBorder="1" applyAlignment="1">
      <alignment horizontal="center"/>
    </xf>
    <xf numFmtId="167" fontId="1" fillId="6" borderId="3" xfId="6" applyNumberFormat="1" applyBorder="1" applyAlignment="1">
      <alignment horizontal="center"/>
    </xf>
    <xf numFmtId="10" fontId="1" fillId="6" borderId="3" xfId="6" applyNumberFormat="1" applyBorder="1" applyAlignment="1">
      <alignment horizontal="center"/>
    </xf>
    <xf numFmtId="0" fontId="9" fillId="7" borderId="4" xfId="7" applyFont="1" applyFill="1" applyBorder="1" applyAlignment="1">
      <alignment horizontal="left"/>
    </xf>
    <xf numFmtId="0" fontId="9" fillId="7" borderId="6" xfId="7" applyFont="1" applyFill="1" applyBorder="1" applyAlignment="1">
      <alignment horizontal="left"/>
    </xf>
    <xf numFmtId="10" fontId="9" fillId="7" borderId="3" xfId="7" applyNumberFormat="1" applyFont="1" applyFill="1" applyBorder="1" applyAlignment="1">
      <alignment horizontal="center"/>
    </xf>
    <xf numFmtId="2" fontId="9" fillId="7" borderId="3" xfId="7" applyNumberFormat="1" applyFont="1" applyFill="1" applyBorder="1" applyAlignment="1">
      <alignment horizontal="center"/>
    </xf>
    <xf numFmtId="0" fontId="9" fillId="0" borderId="4" xfId="7" applyFont="1" applyBorder="1" applyAlignment="1">
      <alignment horizontal="center"/>
    </xf>
    <xf numFmtId="0" fontId="9" fillId="0" borderId="5" xfId="7" applyFont="1" applyBorder="1" applyAlignment="1">
      <alignment horizontal="center"/>
    </xf>
    <xf numFmtId="0" fontId="9" fillId="0" borderId="6" xfId="7" applyFont="1" applyBorder="1" applyAlignment="1">
      <alignment horizontal="center"/>
    </xf>
    <xf numFmtId="10" fontId="1" fillId="6" borderId="3" xfId="6" applyNumberFormat="1" applyFont="1" applyBorder="1" applyAlignment="1">
      <alignment horizontal="center"/>
    </xf>
    <xf numFmtId="0" fontId="5" fillId="0" borderId="4" xfId="7" applyFont="1" applyBorder="1" applyAlignment="1">
      <alignment horizontal="center"/>
    </xf>
    <xf numFmtId="0" fontId="5" fillId="0" borderId="5" xfId="7" applyFont="1" applyBorder="1" applyAlignment="1">
      <alignment horizontal="center"/>
    </xf>
    <xf numFmtId="0" fontId="5" fillId="0" borderId="6" xfId="7" applyFont="1" applyBorder="1" applyAlignment="1">
      <alignment horizontal="center"/>
    </xf>
    <xf numFmtId="4" fontId="1" fillId="6" borderId="3" xfId="6" applyNumberFormat="1" applyFont="1" applyBorder="1" applyAlignment="1">
      <alignment horizontal="center" vertical="center"/>
    </xf>
    <xf numFmtId="0" fontId="5" fillId="0" borderId="4" xfId="7" applyFont="1" applyBorder="1" applyAlignment="1">
      <alignment horizontal="center" vertical="center"/>
    </xf>
    <xf numFmtId="0" fontId="5" fillId="0" borderId="5" xfId="7" applyFont="1" applyBorder="1" applyAlignment="1">
      <alignment horizontal="center" vertical="center"/>
    </xf>
    <xf numFmtId="0" fontId="5" fillId="0" borderId="6" xfId="7" applyFont="1" applyBorder="1" applyAlignment="1">
      <alignment horizontal="center" vertical="center"/>
    </xf>
    <xf numFmtId="10" fontId="1" fillId="6" borderId="3" xfId="6" applyNumberFormat="1" applyFont="1" applyBorder="1" applyAlignment="1">
      <alignment horizontal="center" vertical="center"/>
    </xf>
  </cellXfs>
  <cellStyles count="8">
    <cellStyle name="20% - Accent1" xfId="5" builtinId="30"/>
    <cellStyle name="60% - Accent1" xfId="6" builtinId="32"/>
    <cellStyle name="Neutral" xfId="2" builtinId="28"/>
    <cellStyle name="Normal" xfId="0" builtinId="0"/>
    <cellStyle name="Normal 2" xfId="7" xr:uid="{806FD7CB-1F35-415B-A4BC-2D76538864DA}"/>
    <cellStyle name="Note" xfId="4" builtinId="10"/>
    <cellStyle name="Output" xfId="3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55F0-991B-4554-A3D2-25B4FD4595B8}">
  <dimension ref="B1:E12"/>
  <sheetViews>
    <sheetView zoomScaleNormal="100" workbookViewId="0">
      <selection activeCell="B10" sqref="B10:C10"/>
    </sheetView>
  </sheetViews>
  <sheetFormatPr defaultRowHeight="14.4" x14ac:dyDescent="0.3"/>
  <cols>
    <col min="1" max="1" width="7.77734375" customWidth="1"/>
    <col min="2" max="2" width="19.44140625" customWidth="1"/>
    <col min="3" max="3" width="22.6640625" customWidth="1"/>
    <col min="4" max="4" width="20.88671875" customWidth="1"/>
    <col min="5" max="5" width="10.44140625" bestFit="1" customWidth="1"/>
    <col min="8" max="8" width="12.77734375" customWidth="1"/>
  </cols>
  <sheetData>
    <row r="1" spans="2:5" x14ac:dyDescent="0.3">
      <c r="E1" s="1"/>
    </row>
    <row r="2" spans="2:5" ht="17.399999999999999" x14ac:dyDescent="0.3">
      <c r="B2" s="22" t="s">
        <v>0</v>
      </c>
      <c r="C2" s="22"/>
      <c r="D2" s="22"/>
    </row>
    <row r="3" spans="2:5" x14ac:dyDescent="0.3">
      <c r="B3" s="2" t="s">
        <v>1</v>
      </c>
      <c r="C3" s="2"/>
      <c r="D3" s="3">
        <v>100000</v>
      </c>
    </row>
    <row r="4" spans="2:5" x14ac:dyDescent="0.3">
      <c r="B4" s="2" t="s">
        <v>2</v>
      </c>
      <c r="C4" s="2"/>
      <c r="D4" s="4">
        <v>0.1</v>
      </c>
    </row>
    <row r="5" spans="2:5" x14ac:dyDescent="0.3">
      <c r="B5" s="2" t="s">
        <v>3</v>
      </c>
      <c r="C5" s="2"/>
      <c r="D5" s="4">
        <v>0.05</v>
      </c>
    </row>
    <row r="6" spans="2:5" x14ac:dyDescent="0.3">
      <c r="B6" s="2" t="s">
        <v>4</v>
      </c>
      <c r="C6" s="2"/>
      <c r="D6" s="3">
        <v>200000</v>
      </c>
    </row>
    <row r="7" spans="2:5" ht="4.8" customHeight="1" x14ac:dyDescent="0.3">
      <c r="B7" s="5"/>
      <c r="C7" s="5"/>
      <c r="D7" s="5"/>
    </row>
    <row r="8" spans="2:5" x14ac:dyDescent="0.3">
      <c r="B8" s="6" t="s">
        <v>5</v>
      </c>
      <c r="C8" s="6"/>
      <c r="D8" s="7">
        <f>D3/D4</f>
        <v>1000000</v>
      </c>
    </row>
    <row r="9" spans="2:5" ht="4.8" customHeight="1" x14ac:dyDescent="0.3">
      <c r="B9" s="5"/>
      <c r="C9" s="5"/>
      <c r="D9" s="5"/>
    </row>
    <row r="10" spans="2:5" x14ac:dyDescent="0.3">
      <c r="B10" s="6" t="s">
        <v>6</v>
      </c>
      <c r="C10" s="6"/>
      <c r="D10" s="7">
        <f>D8-D6</f>
        <v>800000</v>
      </c>
    </row>
    <row r="11" spans="2:5" x14ac:dyDescent="0.3">
      <c r="B11" s="8"/>
      <c r="C11" s="8"/>
      <c r="D11" s="8"/>
    </row>
    <row r="12" spans="2:5" x14ac:dyDescent="0.3">
      <c r="D12" s="9" t="s">
        <v>7</v>
      </c>
    </row>
  </sheetData>
  <mergeCells count="9">
    <mergeCell ref="B8:C8"/>
    <mergeCell ref="B9:D9"/>
    <mergeCell ref="B10:C10"/>
    <mergeCell ref="B2:D2"/>
    <mergeCell ref="B3:C3"/>
    <mergeCell ref="B4:C4"/>
    <mergeCell ref="B5:C5"/>
    <mergeCell ref="B6:C6"/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22C9-9A29-4B8E-B442-41657EE5ED85}">
  <dimension ref="B2:D15"/>
  <sheetViews>
    <sheetView zoomScaleNormal="100" workbookViewId="0">
      <selection activeCell="B24" sqref="B24"/>
    </sheetView>
  </sheetViews>
  <sheetFormatPr defaultRowHeight="14.4" x14ac:dyDescent="0.3"/>
  <cols>
    <col min="1" max="1" width="7.5546875" customWidth="1"/>
    <col min="2" max="2" width="24.6640625" customWidth="1"/>
    <col min="3" max="3" width="23.44140625" customWidth="1"/>
    <col min="4" max="4" width="21" customWidth="1"/>
  </cols>
  <sheetData>
    <row r="2" spans="2:4" ht="17.399999999999999" x14ac:dyDescent="0.3">
      <c r="B2" s="28" t="s">
        <v>8</v>
      </c>
      <c r="C2" s="29"/>
      <c r="D2" s="30"/>
    </row>
    <row r="3" spans="2:4" x14ac:dyDescent="0.3">
      <c r="B3" s="56" t="s">
        <v>9</v>
      </c>
      <c r="C3" s="57"/>
      <c r="D3" s="58">
        <v>0.1</v>
      </c>
    </row>
    <row r="4" spans="2:4" x14ac:dyDescent="0.3">
      <c r="B4" s="56" t="s">
        <v>10</v>
      </c>
      <c r="C4" s="57"/>
      <c r="D4" s="58">
        <v>0.05</v>
      </c>
    </row>
    <row r="5" spans="2:4" x14ac:dyDescent="0.3">
      <c r="B5" s="56" t="s">
        <v>11</v>
      </c>
      <c r="C5" s="57"/>
      <c r="D5" s="59">
        <v>0.25</v>
      </c>
    </row>
    <row r="6" spans="2:4" ht="4.8" customHeight="1" x14ac:dyDescent="0.3">
      <c r="B6" s="60"/>
      <c r="C6" s="61"/>
      <c r="D6" s="62"/>
    </row>
    <row r="7" spans="2:4" x14ac:dyDescent="0.3">
      <c r="B7" s="13" t="s">
        <v>12</v>
      </c>
      <c r="C7" s="14"/>
      <c r="D7" s="63">
        <f>D3+D5*(D3-D4)</f>
        <v>0.1125</v>
      </c>
    </row>
    <row r="8" spans="2:4" ht="4.8" customHeight="1" x14ac:dyDescent="0.3">
      <c r="B8" s="64"/>
      <c r="C8" s="65"/>
      <c r="D8" s="66"/>
    </row>
    <row r="9" spans="2:4" x14ac:dyDescent="0.3">
      <c r="B9" s="19" t="s">
        <v>13</v>
      </c>
      <c r="C9" s="20"/>
      <c r="D9" s="67">
        <f>1/(1+D5)</f>
        <v>0.8</v>
      </c>
    </row>
    <row r="10" spans="2:4" ht="4.2" customHeight="1" x14ac:dyDescent="0.3">
      <c r="B10" s="68"/>
      <c r="C10" s="69"/>
      <c r="D10" s="70"/>
    </row>
    <row r="11" spans="2:4" x14ac:dyDescent="0.3">
      <c r="B11" s="19" t="s">
        <v>14</v>
      </c>
      <c r="C11" s="20"/>
      <c r="D11" s="67">
        <f>D5/(1+D5)</f>
        <v>0.2</v>
      </c>
    </row>
    <row r="12" spans="2:4" ht="4.8" customHeight="1" x14ac:dyDescent="0.3">
      <c r="B12" s="68"/>
      <c r="C12" s="69"/>
      <c r="D12" s="70"/>
    </row>
    <row r="13" spans="2:4" x14ac:dyDescent="0.3">
      <c r="B13" s="19" t="s">
        <v>15</v>
      </c>
      <c r="C13" s="20"/>
      <c r="D13" s="71">
        <f>(D9*D7)+(D11*D4)</f>
        <v>0.1</v>
      </c>
    </row>
    <row r="15" spans="2:4" x14ac:dyDescent="0.3">
      <c r="D15" s="9" t="s">
        <v>7</v>
      </c>
    </row>
  </sheetData>
  <mergeCells count="12">
    <mergeCell ref="B8:D8"/>
    <mergeCell ref="B9:C9"/>
    <mergeCell ref="B10:D10"/>
    <mergeCell ref="B11:C11"/>
    <mergeCell ref="B12:D12"/>
    <mergeCell ref="B13:C13"/>
    <mergeCell ref="B2:D2"/>
    <mergeCell ref="B3:C3"/>
    <mergeCell ref="B4:C4"/>
    <mergeCell ref="B5:C5"/>
    <mergeCell ref="B6:D6"/>
    <mergeCell ref="B7:C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AE9C-B0DA-4CB9-BD6A-7C33EA4FA102}">
  <dimension ref="B2:D13"/>
  <sheetViews>
    <sheetView zoomScaleNormal="100" workbookViewId="0">
      <selection activeCell="B5" sqref="B5:C5"/>
    </sheetView>
  </sheetViews>
  <sheetFormatPr defaultRowHeight="14.4" x14ac:dyDescent="0.3"/>
  <cols>
    <col min="1" max="1" width="8.21875" customWidth="1"/>
    <col min="2" max="2" width="19.109375" customWidth="1"/>
    <col min="3" max="3" width="17.44140625" customWidth="1"/>
    <col min="4" max="4" width="21.33203125" customWidth="1"/>
  </cols>
  <sheetData>
    <row r="2" spans="2:4" ht="17.399999999999999" x14ac:dyDescent="0.3">
      <c r="B2" s="22" t="s">
        <v>16</v>
      </c>
      <c r="C2" s="22"/>
      <c r="D2" s="22"/>
    </row>
    <row r="3" spans="2:4" x14ac:dyDescent="0.3">
      <c r="B3" s="2" t="s">
        <v>17</v>
      </c>
      <c r="C3" s="2"/>
      <c r="D3" s="3">
        <v>100000</v>
      </c>
    </row>
    <row r="4" spans="2:4" x14ac:dyDescent="0.3">
      <c r="B4" s="2" t="s">
        <v>18</v>
      </c>
      <c r="C4" s="2"/>
      <c r="D4" s="4">
        <v>0.1</v>
      </c>
    </row>
    <row r="5" spans="2:4" x14ac:dyDescent="0.3">
      <c r="B5" s="2" t="s">
        <v>19</v>
      </c>
      <c r="C5" s="2"/>
      <c r="D5" s="4">
        <v>0.3</v>
      </c>
    </row>
    <row r="6" spans="2:4" ht="6" customHeight="1" x14ac:dyDescent="0.3">
      <c r="B6" s="23"/>
      <c r="C6" s="23"/>
      <c r="D6" s="23"/>
    </row>
    <row r="7" spans="2:4" x14ac:dyDescent="0.3">
      <c r="B7" s="24" t="s">
        <v>20</v>
      </c>
      <c r="C7" s="24"/>
      <c r="D7" s="25">
        <f>(D3*D4)</f>
        <v>10000</v>
      </c>
    </row>
    <row r="8" spans="2:4" ht="6" customHeight="1" x14ac:dyDescent="0.3">
      <c r="B8" s="26"/>
      <c r="C8" s="26"/>
      <c r="D8" s="26"/>
    </row>
    <row r="9" spans="2:4" x14ac:dyDescent="0.3">
      <c r="B9" s="6" t="s">
        <v>21</v>
      </c>
      <c r="C9" s="6"/>
      <c r="D9" s="7">
        <f>(D3*D4)*D5</f>
        <v>3000</v>
      </c>
    </row>
    <row r="10" spans="2:4" ht="5.4" customHeight="1" x14ac:dyDescent="0.3">
      <c r="B10" s="27"/>
      <c r="C10" s="27"/>
      <c r="D10" s="27"/>
    </row>
    <row r="11" spans="2:4" x14ac:dyDescent="0.3">
      <c r="B11" s="6" t="s">
        <v>22</v>
      </c>
      <c r="C11" s="6"/>
      <c r="D11" s="21">
        <f>D4*(1-D5)</f>
        <v>6.9999999999999993E-2</v>
      </c>
    </row>
    <row r="13" spans="2:4" x14ac:dyDescent="0.3">
      <c r="D13" s="9" t="s">
        <v>7</v>
      </c>
    </row>
  </sheetData>
  <mergeCells count="10">
    <mergeCell ref="B8:D8"/>
    <mergeCell ref="B9:C9"/>
    <mergeCell ref="B10:D10"/>
    <mergeCell ref="B11:C11"/>
    <mergeCell ref="B2:D2"/>
    <mergeCell ref="B3:C3"/>
    <mergeCell ref="B4:C4"/>
    <mergeCell ref="B5:C5"/>
    <mergeCell ref="B6:D6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5158-F38D-4695-8D24-4E07B960EE4F}">
  <dimension ref="B2:D11"/>
  <sheetViews>
    <sheetView tabSelected="1" zoomScaleNormal="100" workbookViewId="0">
      <selection activeCell="I14" sqref="I14"/>
    </sheetView>
  </sheetViews>
  <sheetFormatPr defaultRowHeight="14.4" x14ac:dyDescent="0.3"/>
  <cols>
    <col min="1" max="1" width="7.88671875" customWidth="1"/>
    <col min="2" max="2" width="16.6640625" customWidth="1"/>
    <col min="3" max="3" width="16.5546875" customWidth="1"/>
    <col min="4" max="4" width="19" customWidth="1"/>
  </cols>
  <sheetData>
    <row r="2" spans="2:4" ht="17.399999999999999" x14ac:dyDescent="0.3">
      <c r="B2" s="28" t="s">
        <v>23</v>
      </c>
      <c r="C2" s="29"/>
      <c r="D2" s="30"/>
    </row>
    <row r="3" spans="2:4" x14ac:dyDescent="0.3">
      <c r="B3" s="31" t="s">
        <v>17</v>
      </c>
      <c r="C3" s="32"/>
      <c r="D3" s="3">
        <v>500000</v>
      </c>
    </row>
    <row r="4" spans="2:4" x14ac:dyDescent="0.3">
      <c r="B4" s="31" t="s">
        <v>18</v>
      </c>
      <c r="C4" s="32"/>
      <c r="D4" s="4">
        <v>0.12</v>
      </c>
    </row>
    <row r="5" spans="2:4" x14ac:dyDescent="0.3">
      <c r="B5" s="31" t="s">
        <v>19</v>
      </c>
      <c r="C5" s="32"/>
      <c r="D5" s="4">
        <v>0.3</v>
      </c>
    </row>
    <row r="6" spans="2:4" ht="4.8" customHeight="1" x14ac:dyDescent="0.3">
      <c r="B6" s="10"/>
      <c r="C6" s="11"/>
      <c r="D6" s="12"/>
    </row>
    <row r="7" spans="2:4" x14ac:dyDescent="0.3">
      <c r="B7" s="19" t="s">
        <v>21</v>
      </c>
      <c r="C7" s="20"/>
      <c r="D7" s="25">
        <f>(D3*D4)*D5</f>
        <v>18000</v>
      </c>
    </row>
    <row r="8" spans="2:4" ht="4.8" customHeight="1" x14ac:dyDescent="0.3">
      <c r="B8" s="16"/>
      <c r="C8" s="17"/>
      <c r="D8" s="18"/>
    </row>
    <row r="9" spans="2:4" x14ac:dyDescent="0.3">
      <c r="B9" s="19" t="s">
        <v>24</v>
      </c>
      <c r="C9" s="20"/>
      <c r="D9" s="7">
        <f>D5*D3</f>
        <v>150000</v>
      </c>
    </row>
    <row r="11" spans="2:4" x14ac:dyDescent="0.3">
      <c r="D11" s="9" t="s">
        <v>7</v>
      </c>
    </row>
  </sheetData>
  <mergeCells count="8">
    <mergeCell ref="B8:D8"/>
    <mergeCell ref="B9:C9"/>
    <mergeCell ref="B2:D2"/>
    <mergeCell ref="B3:C3"/>
    <mergeCell ref="B4:C4"/>
    <mergeCell ref="B5:C5"/>
    <mergeCell ref="B6:D6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AE53-0609-496B-8F4A-1852ED73C180}">
  <dimension ref="B2:E19"/>
  <sheetViews>
    <sheetView zoomScaleNormal="100" workbookViewId="0">
      <selection activeCell="F21" sqref="F21"/>
    </sheetView>
  </sheetViews>
  <sheetFormatPr defaultRowHeight="14.4" x14ac:dyDescent="0.3"/>
  <cols>
    <col min="1" max="1" width="8" customWidth="1"/>
    <col min="2" max="2" width="20.5546875" customWidth="1"/>
    <col min="3" max="3" width="19.88671875" customWidth="1"/>
    <col min="4" max="4" width="23.109375" customWidth="1"/>
  </cols>
  <sheetData>
    <row r="2" spans="2:4" ht="17.399999999999999" x14ac:dyDescent="0.3">
      <c r="B2" s="22" t="s">
        <v>25</v>
      </c>
      <c r="C2" s="22"/>
      <c r="D2" s="22"/>
    </row>
    <row r="3" spans="2:4" x14ac:dyDescent="0.3">
      <c r="B3" s="2" t="s">
        <v>26</v>
      </c>
      <c r="C3" s="2"/>
      <c r="D3" s="3">
        <v>1000000000</v>
      </c>
    </row>
    <row r="4" spans="2:4" x14ac:dyDescent="0.3">
      <c r="B4" s="2" t="s">
        <v>27</v>
      </c>
      <c r="C4" s="2"/>
      <c r="D4" s="3">
        <v>400000000</v>
      </c>
    </row>
    <row r="5" spans="2:4" x14ac:dyDescent="0.3">
      <c r="B5" s="2" t="s">
        <v>28</v>
      </c>
      <c r="C5" s="2"/>
      <c r="D5" s="4">
        <v>0.3</v>
      </c>
    </row>
    <row r="6" spans="2:4" x14ac:dyDescent="0.3">
      <c r="B6" s="2" t="s">
        <v>29</v>
      </c>
      <c r="C6" s="2"/>
      <c r="D6" s="33">
        <v>10000000</v>
      </c>
    </row>
    <row r="7" spans="2:4" x14ac:dyDescent="0.3">
      <c r="B7" s="2" t="s">
        <v>30</v>
      </c>
      <c r="C7" s="2"/>
      <c r="D7" s="3">
        <v>100</v>
      </c>
    </row>
    <row r="8" spans="2:4" ht="5.4" customHeight="1" x14ac:dyDescent="0.3">
      <c r="B8" s="10"/>
      <c r="C8" s="11"/>
      <c r="D8" s="12"/>
    </row>
    <row r="9" spans="2:4" x14ac:dyDescent="0.3">
      <c r="B9" s="6" t="s">
        <v>24</v>
      </c>
      <c r="C9" s="6"/>
      <c r="D9" s="7">
        <f>D4*D5</f>
        <v>120000000</v>
      </c>
    </row>
    <row r="10" spans="2:4" ht="5.4" customHeight="1" x14ac:dyDescent="0.3">
      <c r="B10" s="16"/>
      <c r="C10" s="17"/>
      <c r="D10" s="18"/>
    </row>
    <row r="11" spans="2:4" x14ac:dyDescent="0.3">
      <c r="B11" s="6" t="s">
        <v>31</v>
      </c>
      <c r="C11" s="6"/>
      <c r="D11" s="7">
        <f>D3+(D4*D5)</f>
        <v>1120000000</v>
      </c>
    </row>
    <row r="12" spans="2:4" ht="6" customHeight="1" x14ac:dyDescent="0.3">
      <c r="B12" s="5"/>
      <c r="C12" s="5"/>
      <c r="D12" s="5"/>
    </row>
    <row r="13" spans="2:4" x14ac:dyDescent="0.3">
      <c r="B13" s="6" t="s">
        <v>32</v>
      </c>
      <c r="C13" s="6"/>
      <c r="D13" s="34">
        <f>D4/D7</f>
        <v>4000000</v>
      </c>
    </row>
    <row r="14" spans="2:4" ht="6" customHeight="1" x14ac:dyDescent="0.3">
      <c r="B14" s="5"/>
      <c r="C14" s="5"/>
      <c r="D14" s="5"/>
    </row>
    <row r="15" spans="2:4" x14ac:dyDescent="0.3">
      <c r="B15" s="6" t="s">
        <v>33</v>
      </c>
      <c r="C15" s="6"/>
      <c r="D15" s="34">
        <f>D6-(D4/D7)</f>
        <v>6000000</v>
      </c>
    </row>
    <row r="16" spans="2:4" ht="6" customHeight="1" x14ac:dyDescent="0.3">
      <c r="B16" s="5"/>
      <c r="C16" s="5"/>
      <c r="D16" s="5"/>
    </row>
    <row r="17" spans="2:5" x14ac:dyDescent="0.3">
      <c r="B17" s="6" t="s">
        <v>34</v>
      </c>
      <c r="C17" s="6"/>
      <c r="D17" s="7">
        <f>(D11-D4)/D15</f>
        <v>120</v>
      </c>
    </row>
    <row r="19" spans="2:5" x14ac:dyDescent="0.3">
      <c r="D19" s="9" t="s">
        <v>7</v>
      </c>
      <c r="E19" t="s">
        <v>35</v>
      </c>
    </row>
  </sheetData>
  <mergeCells count="16">
    <mergeCell ref="B14:D14"/>
    <mergeCell ref="B15:C15"/>
    <mergeCell ref="B16:D16"/>
    <mergeCell ref="B17:C17"/>
    <mergeCell ref="B8:D8"/>
    <mergeCell ref="B9:C9"/>
    <mergeCell ref="B10:D10"/>
    <mergeCell ref="B11:C11"/>
    <mergeCell ref="B12:D12"/>
    <mergeCell ref="B13:C13"/>
    <mergeCell ref="B2:D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CA61-EE20-4C06-96D4-D33BFF8542D8}">
  <dimension ref="B2:D11"/>
  <sheetViews>
    <sheetView zoomScaleNormal="100" workbookViewId="0">
      <selection activeCell="G20" sqref="G20"/>
    </sheetView>
  </sheetViews>
  <sheetFormatPr defaultRowHeight="14.4" x14ac:dyDescent="0.3"/>
  <cols>
    <col min="1" max="1" width="8.109375" customWidth="1"/>
    <col min="2" max="2" width="17.5546875" customWidth="1"/>
    <col min="3" max="3" width="15.88671875" customWidth="1"/>
    <col min="4" max="4" width="16.33203125" customWidth="1"/>
  </cols>
  <sheetData>
    <row r="2" spans="2:4" ht="17.399999999999999" x14ac:dyDescent="0.3">
      <c r="B2" s="22" t="s">
        <v>36</v>
      </c>
      <c r="C2" s="22"/>
      <c r="D2" s="22"/>
    </row>
    <row r="3" spans="2:4" x14ac:dyDescent="0.3">
      <c r="B3" s="2" t="s">
        <v>37</v>
      </c>
      <c r="C3" s="2"/>
      <c r="D3" s="4">
        <v>0.3</v>
      </c>
    </row>
    <row r="4" spans="2:4" x14ac:dyDescent="0.3">
      <c r="B4" s="2" t="s">
        <v>38</v>
      </c>
      <c r="C4" s="2"/>
      <c r="D4" s="4">
        <v>0.35</v>
      </c>
    </row>
    <row r="5" spans="2:4" x14ac:dyDescent="0.3">
      <c r="B5" s="2" t="s">
        <v>39</v>
      </c>
      <c r="C5" s="2"/>
      <c r="D5" s="4">
        <v>0.1</v>
      </c>
    </row>
    <row r="6" spans="2:4" ht="4.2" customHeight="1" x14ac:dyDescent="0.3">
      <c r="B6" s="23"/>
      <c r="C6" s="23"/>
      <c r="D6" s="23"/>
    </row>
    <row r="7" spans="2:4" x14ac:dyDescent="0.3">
      <c r="B7" s="24" t="s">
        <v>40</v>
      </c>
      <c r="C7" s="24"/>
      <c r="D7" s="35">
        <f>(1-D5)-(1-D3)*(1-D4)</f>
        <v>0.44500000000000006</v>
      </c>
    </row>
    <row r="8" spans="2:4" ht="4.2" customHeight="1" x14ac:dyDescent="0.3">
      <c r="B8" s="5"/>
      <c r="C8" s="5"/>
      <c r="D8" s="5"/>
    </row>
    <row r="9" spans="2:4" x14ac:dyDescent="0.3">
      <c r="B9" s="24" t="s">
        <v>40</v>
      </c>
      <c r="C9" s="24"/>
      <c r="D9" s="15">
        <f>D7</f>
        <v>0.44500000000000006</v>
      </c>
    </row>
    <row r="11" spans="2:4" x14ac:dyDescent="0.3">
      <c r="D11" s="9" t="s">
        <v>7</v>
      </c>
    </row>
  </sheetData>
  <mergeCells count="8">
    <mergeCell ref="B8:D8"/>
    <mergeCell ref="B9:C9"/>
    <mergeCell ref="B2:D2"/>
    <mergeCell ref="B3:C3"/>
    <mergeCell ref="B4:C4"/>
    <mergeCell ref="B5:C5"/>
    <mergeCell ref="B6:D6"/>
    <mergeCell ref="B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C274-ED26-4E17-B588-C06BD43E8403}">
  <dimension ref="B2:E15"/>
  <sheetViews>
    <sheetView zoomScaleNormal="100" workbookViewId="0">
      <selection activeCell="G20" sqref="G20"/>
    </sheetView>
  </sheetViews>
  <sheetFormatPr defaultRowHeight="14.4" x14ac:dyDescent="0.3"/>
  <cols>
    <col min="1" max="1" width="9.21875" customWidth="1"/>
    <col min="2" max="2" width="21.77734375" customWidth="1"/>
    <col min="3" max="3" width="22" customWidth="1"/>
    <col min="4" max="4" width="20.6640625" customWidth="1"/>
  </cols>
  <sheetData>
    <row r="2" spans="2:5" ht="17.399999999999999" x14ac:dyDescent="0.3">
      <c r="B2" s="36" t="s">
        <v>41</v>
      </c>
      <c r="C2" s="36"/>
      <c r="D2" s="36"/>
    </row>
    <row r="3" spans="2:5" x14ac:dyDescent="0.3">
      <c r="B3" s="2" t="s">
        <v>42</v>
      </c>
      <c r="C3" s="2"/>
      <c r="D3" s="3">
        <v>100</v>
      </c>
    </row>
    <row r="4" spans="2:5" x14ac:dyDescent="0.3">
      <c r="B4" s="2" t="s">
        <v>43</v>
      </c>
      <c r="C4" s="2"/>
      <c r="D4" s="3">
        <v>50</v>
      </c>
    </row>
    <row r="5" spans="2:5" x14ac:dyDescent="0.3">
      <c r="B5" s="2" t="s">
        <v>44</v>
      </c>
      <c r="C5" s="2"/>
      <c r="D5" s="4">
        <v>0.3</v>
      </c>
    </row>
    <row r="6" spans="2:5" x14ac:dyDescent="0.3">
      <c r="B6" s="2" t="s">
        <v>45</v>
      </c>
      <c r="C6" s="2"/>
      <c r="D6" s="4">
        <v>0.05</v>
      </c>
    </row>
    <row r="7" spans="2:5" x14ac:dyDescent="0.3">
      <c r="B7" s="2" t="s">
        <v>46</v>
      </c>
      <c r="C7" s="2"/>
      <c r="D7" s="3">
        <v>20</v>
      </c>
    </row>
    <row r="8" spans="2:5" ht="4.8" customHeight="1" x14ac:dyDescent="0.3">
      <c r="B8" s="23"/>
      <c r="C8" s="23"/>
      <c r="D8" s="23"/>
    </row>
    <row r="9" spans="2:5" x14ac:dyDescent="0.3">
      <c r="B9" s="6" t="s">
        <v>21</v>
      </c>
      <c r="C9" s="6"/>
      <c r="D9" s="7">
        <f>D4*D5</f>
        <v>15</v>
      </c>
    </row>
    <row r="10" spans="2:5" ht="5.4" customHeight="1" x14ac:dyDescent="0.3">
      <c r="B10" s="26"/>
      <c r="C10" s="26"/>
      <c r="D10" s="26"/>
    </row>
    <row r="11" spans="2:5" x14ac:dyDescent="0.3">
      <c r="B11" s="6" t="s">
        <v>47</v>
      </c>
      <c r="C11" s="6"/>
      <c r="D11" s="7">
        <f>D6*D7</f>
        <v>1</v>
      </c>
    </row>
    <row r="12" spans="2:5" ht="5.4" customHeight="1" x14ac:dyDescent="0.3">
      <c r="B12" s="5"/>
      <c r="C12" s="5"/>
      <c r="D12" s="5"/>
    </row>
    <row r="13" spans="2:5" x14ac:dyDescent="0.3">
      <c r="B13" s="6" t="s">
        <v>48</v>
      </c>
      <c r="C13" s="6"/>
      <c r="D13" s="7">
        <f>D3+(D4*D5)-(D6*D7)</f>
        <v>114</v>
      </c>
    </row>
    <row r="15" spans="2:5" x14ac:dyDescent="0.3">
      <c r="D15" s="9" t="s">
        <v>49</v>
      </c>
      <c r="E15" t="s">
        <v>35</v>
      </c>
    </row>
  </sheetData>
  <mergeCells count="12">
    <mergeCell ref="B8:D8"/>
    <mergeCell ref="B9:C9"/>
    <mergeCell ref="B10:D10"/>
    <mergeCell ref="B11:C11"/>
    <mergeCell ref="B12:D12"/>
    <mergeCell ref="B13:C13"/>
    <mergeCell ref="B2:D2"/>
    <mergeCell ref="B3:C3"/>
    <mergeCell ref="B4:C4"/>
    <mergeCell ref="B5:C5"/>
    <mergeCell ref="B6:C6"/>
    <mergeCell ref="B7:C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B9E4-9C0F-4E7C-9827-20DF30AF4B32}">
  <dimension ref="B2:E15"/>
  <sheetViews>
    <sheetView zoomScaleNormal="100" workbookViewId="0">
      <selection activeCell="G18" sqref="G18"/>
    </sheetView>
  </sheetViews>
  <sheetFormatPr defaultRowHeight="14.4" x14ac:dyDescent="0.3"/>
  <cols>
    <col min="1" max="1" width="8.33203125" customWidth="1"/>
    <col min="2" max="2" width="20.6640625" customWidth="1"/>
    <col min="3" max="3" width="19.5546875" customWidth="1"/>
    <col min="4" max="4" width="21.77734375" customWidth="1"/>
  </cols>
  <sheetData>
    <row r="2" spans="2:5" ht="17.399999999999999" x14ac:dyDescent="0.3">
      <c r="B2" s="36" t="s">
        <v>50</v>
      </c>
      <c r="C2" s="36"/>
      <c r="D2" s="36"/>
    </row>
    <row r="3" spans="2:5" x14ac:dyDescent="0.3">
      <c r="B3" s="2" t="s">
        <v>42</v>
      </c>
      <c r="C3" s="2"/>
      <c r="D3" s="3">
        <v>100</v>
      </c>
    </row>
    <row r="4" spans="2:5" x14ac:dyDescent="0.3">
      <c r="B4" s="2" t="s">
        <v>43</v>
      </c>
      <c r="C4" s="2"/>
      <c r="D4" s="3">
        <v>50</v>
      </c>
    </row>
    <row r="5" spans="2:5" x14ac:dyDescent="0.3">
      <c r="B5" s="2" t="s">
        <v>44</v>
      </c>
      <c r="C5" s="2"/>
      <c r="D5" s="4">
        <v>0.3</v>
      </c>
    </row>
    <row r="6" spans="2:5" x14ac:dyDescent="0.3">
      <c r="B6" s="2" t="s">
        <v>45</v>
      </c>
      <c r="C6" s="2"/>
      <c r="D6" s="4">
        <v>0.05</v>
      </c>
    </row>
    <row r="7" spans="2:5" x14ac:dyDescent="0.3">
      <c r="B7" s="2" t="s">
        <v>46</v>
      </c>
      <c r="C7" s="2"/>
      <c r="D7" s="3">
        <v>20</v>
      </c>
    </row>
    <row r="8" spans="2:5" ht="4.8" customHeight="1" x14ac:dyDescent="0.3">
      <c r="B8" s="23"/>
      <c r="C8" s="23"/>
      <c r="D8" s="23"/>
    </row>
    <row r="9" spans="2:5" x14ac:dyDescent="0.3">
      <c r="B9" s="6" t="s">
        <v>21</v>
      </c>
      <c r="C9" s="6"/>
      <c r="D9" s="7">
        <f>D4*D5</f>
        <v>15</v>
      </c>
    </row>
    <row r="10" spans="2:5" ht="4.2" customHeight="1" x14ac:dyDescent="0.3">
      <c r="B10" s="26"/>
      <c r="C10" s="26"/>
      <c r="D10" s="26"/>
    </row>
    <row r="11" spans="2:5" x14ac:dyDescent="0.3">
      <c r="B11" s="6" t="s">
        <v>47</v>
      </c>
      <c r="C11" s="6"/>
      <c r="D11" s="7">
        <f>D6*D7</f>
        <v>1</v>
      </c>
    </row>
    <row r="12" spans="2:5" ht="4.2" customHeight="1" x14ac:dyDescent="0.3">
      <c r="B12" s="5"/>
      <c r="C12" s="5"/>
      <c r="D12" s="5"/>
    </row>
    <row r="13" spans="2:5" x14ac:dyDescent="0.3">
      <c r="B13" s="6" t="s">
        <v>48</v>
      </c>
      <c r="C13" s="6"/>
      <c r="D13" s="7">
        <f>D3+(D4*D5)-(D6*D7)</f>
        <v>114</v>
      </c>
    </row>
    <row r="15" spans="2:5" x14ac:dyDescent="0.3">
      <c r="D15" s="9" t="s">
        <v>49</v>
      </c>
      <c r="E15" t="s">
        <v>35</v>
      </c>
    </row>
  </sheetData>
  <mergeCells count="12">
    <mergeCell ref="B8:D8"/>
    <mergeCell ref="B9:C9"/>
    <mergeCell ref="B10:D10"/>
    <mergeCell ref="B11:C11"/>
    <mergeCell ref="B12:D12"/>
    <mergeCell ref="B13:C13"/>
    <mergeCell ref="B2:D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EF7B-2163-4988-AD3E-BFA7EA1D1C28}">
  <dimension ref="B2:E18"/>
  <sheetViews>
    <sheetView zoomScaleNormal="100" workbookViewId="0">
      <selection activeCell="G21" sqref="G21"/>
    </sheetView>
  </sheetViews>
  <sheetFormatPr defaultRowHeight="14.4" x14ac:dyDescent="0.3"/>
  <cols>
    <col min="1" max="1" width="7.77734375" customWidth="1"/>
    <col min="2" max="3" width="24" customWidth="1"/>
    <col min="4" max="4" width="22" customWidth="1"/>
  </cols>
  <sheetData>
    <row r="2" spans="2:4" ht="17.399999999999999" x14ac:dyDescent="0.3">
      <c r="B2" s="36" t="s">
        <v>50</v>
      </c>
      <c r="C2" s="36"/>
      <c r="D2" s="36"/>
    </row>
    <row r="3" spans="2:4" x14ac:dyDescent="0.3">
      <c r="B3" s="2" t="s">
        <v>42</v>
      </c>
      <c r="C3" s="2"/>
      <c r="D3" s="3">
        <v>200</v>
      </c>
    </row>
    <row r="4" spans="2:4" x14ac:dyDescent="0.3">
      <c r="B4" s="2" t="s">
        <v>43</v>
      </c>
      <c r="C4" s="2"/>
      <c r="D4" s="3">
        <v>80</v>
      </c>
    </row>
    <row r="5" spans="2:4" x14ac:dyDescent="0.3">
      <c r="B5" s="2" t="s">
        <v>44</v>
      </c>
      <c r="C5" s="2"/>
      <c r="D5" s="4">
        <v>0.3</v>
      </c>
    </row>
    <row r="6" spans="2:4" x14ac:dyDescent="0.3">
      <c r="B6" s="37" t="s">
        <v>51</v>
      </c>
      <c r="C6" s="37"/>
      <c r="D6" s="4">
        <v>0.1</v>
      </c>
    </row>
    <row r="7" spans="2:4" x14ac:dyDescent="0.3">
      <c r="B7" s="37" t="s">
        <v>45</v>
      </c>
      <c r="C7" s="37"/>
      <c r="D7" s="4">
        <v>0.2</v>
      </c>
    </row>
    <row r="8" spans="2:4" x14ac:dyDescent="0.3">
      <c r="B8" s="2" t="s">
        <v>46</v>
      </c>
      <c r="C8" s="2"/>
      <c r="D8" s="3">
        <v>50</v>
      </c>
    </row>
    <row r="9" spans="2:4" ht="4.8" customHeight="1" x14ac:dyDescent="0.3">
      <c r="B9" s="23"/>
      <c r="C9" s="23"/>
      <c r="D9" s="23"/>
    </row>
    <row r="10" spans="2:4" x14ac:dyDescent="0.3">
      <c r="B10" s="6" t="s">
        <v>21</v>
      </c>
      <c r="C10" s="6"/>
      <c r="D10" s="7">
        <f>D4*D5</f>
        <v>24</v>
      </c>
    </row>
    <row r="11" spans="2:4" ht="4.8" customHeight="1" x14ac:dyDescent="0.3">
      <c r="B11" s="26"/>
      <c r="C11" s="26"/>
      <c r="D11" s="26"/>
    </row>
    <row r="12" spans="2:4" x14ac:dyDescent="0.3">
      <c r="B12" s="6" t="s">
        <v>47</v>
      </c>
      <c r="C12" s="6"/>
      <c r="D12" s="7">
        <f>D7*D8</f>
        <v>10</v>
      </c>
    </row>
    <row r="13" spans="2:4" ht="4.8" customHeight="1" x14ac:dyDescent="0.3">
      <c r="B13" s="5"/>
      <c r="C13" s="5"/>
      <c r="D13" s="5"/>
    </row>
    <row r="14" spans="2:4" x14ac:dyDescent="0.3">
      <c r="B14" s="6" t="s">
        <v>48</v>
      </c>
      <c r="C14" s="6"/>
      <c r="D14" s="38">
        <f>D3+(D4*D5)-(D7*D8)</f>
        <v>214</v>
      </c>
    </row>
    <row r="15" spans="2:4" ht="4.8" customHeight="1" x14ac:dyDescent="0.3">
      <c r="B15" s="5"/>
      <c r="C15" s="5"/>
      <c r="D15" s="5"/>
    </row>
    <row r="16" spans="2:4" x14ac:dyDescent="0.3">
      <c r="B16" s="6" t="s">
        <v>52</v>
      </c>
      <c r="C16" s="6"/>
      <c r="D16" s="7">
        <f>D14-D3</f>
        <v>14</v>
      </c>
    </row>
    <row r="18" spans="4:5" x14ac:dyDescent="0.3">
      <c r="D18" s="9" t="s">
        <v>49</v>
      </c>
      <c r="E18" t="s">
        <v>35</v>
      </c>
    </row>
  </sheetData>
  <mergeCells count="15">
    <mergeCell ref="B14:C14"/>
    <mergeCell ref="B15:D15"/>
    <mergeCell ref="B16:C16"/>
    <mergeCell ref="B8:C8"/>
    <mergeCell ref="B9:D9"/>
    <mergeCell ref="B10:C10"/>
    <mergeCell ref="B11:D11"/>
    <mergeCell ref="B12:C12"/>
    <mergeCell ref="B13:D13"/>
    <mergeCell ref="B2:D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6B0E-E566-4207-BA6A-1BFCC9E7A905}">
  <dimension ref="B2:E17"/>
  <sheetViews>
    <sheetView zoomScaleNormal="100" workbookViewId="0">
      <selection activeCell="G20" sqref="G20"/>
    </sheetView>
  </sheetViews>
  <sheetFormatPr defaultRowHeight="14.4" x14ac:dyDescent="0.3"/>
  <cols>
    <col min="1" max="1" width="7.6640625" customWidth="1"/>
    <col min="2" max="2" width="23.44140625" customWidth="1"/>
    <col min="3" max="3" width="24" customWidth="1"/>
    <col min="4" max="4" width="24.33203125" customWidth="1"/>
  </cols>
  <sheetData>
    <row r="2" spans="2:4" ht="17.399999999999999" x14ac:dyDescent="0.3">
      <c r="B2" s="36" t="s">
        <v>53</v>
      </c>
      <c r="C2" s="36"/>
      <c r="D2" s="36"/>
    </row>
    <row r="3" spans="2:4" x14ac:dyDescent="0.3">
      <c r="B3" s="2" t="s">
        <v>42</v>
      </c>
      <c r="C3" s="2"/>
      <c r="D3" s="3">
        <v>500</v>
      </c>
    </row>
    <row r="4" spans="2:4" x14ac:dyDescent="0.3">
      <c r="B4" s="2" t="s">
        <v>43</v>
      </c>
      <c r="C4" s="2"/>
      <c r="D4" s="3">
        <v>100</v>
      </c>
    </row>
    <row r="5" spans="2:4" x14ac:dyDescent="0.3">
      <c r="B5" s="2" t="s">
        <v>44</v>
      </c>
      <c r="C5" s="2"/>
      <c r="D5" s="4">
        <v>0.3</v>
      </c>
    </row>
    <row r="6" spans="2:4" x14ac:dyDescent="0.3">
      <c r="B6" s="2" t="s">
        <v>45</v>
      </c>
      <c r="C6" s="2"/>
      <c r="D6" s="4">
        <v>0.05</v>
      </c>
    </row>
    <row r="7" spans="2:4" x14ac:dyDescent="0.3">
      <c r="B7" s="2" t="s">
        <v>46</v>
      </c>
      <c r="C7" s="2"/>
      <c r="D7" s="3">
        <v>150</v>
      </c>
    </row>
    <row r="8" spans="2:4" ht="4.8" customHeight="1" x14ac:dyDescent="0.3">
      <c r="B8" s="23"/>
      <c r="C8" s="23"/>
      <c r="D8" s="23"/>
    </row>
    <row r="9" spans="2:4" x14ac:dyDescent="0.3">
      <c r="B9" s="6" t="s">
        <v>21</v>
      </c>
      <c r="C9" s="6"/>
      <c r="D9" s="7">
        <f>D4*D5</f>
        <v>30</v>
      </c>
    </row>
    <row r="10" spans="2:4" ht="5.4" customHeight="1" x14ac:dyDescent="0.3">
      <c r="B10" s="26"/>
      <c r="C10" s="26"/>
      <c r="D10" s="26"/>
    </row>
    <row r="11" spans="2:4" x14ac:dyDescent="0.3">
      <c r="B11" s="6" t="s">
        <v>47</v>
      </c>
      <c r="C11" s="6"/>
      <c r="D11" s="7">
        <f>D6*D7</f>
        <v>7.5</v>
      </c>
    </row>
    <row r="12" spans="2:4" ht="5.4" customHeight="1" x14ac:dyDescent="0.3">
      <c r="B12" s="5"/>
      <c r="C12" s="5"/>
      <c r="D12" s="5"/>
    </row>
    <row r="13" spans="2:4" x14ac:dyDescent="0.3">
      <c r="B13" s="6" t="s">
        <v>48</v>
      </c>
      <c r="C13" s="6"/>
      <c r="D13" s="7">
        <f>D3+(D4*D5)-(D6*D7)</f>
        <v>522.5</v>
      </c>
    </row>
    <row r="14" spans="2:4" ht="6.6" customHeight="1" x14ac:dyDescent="0.3">
      <c r="B14" s="5"/>
      <c r="C14" s="5"/>
      <c r="D14" s="5"/>
    </row>
    <row r="15" spans="2:4" x14ac:dyDescent="0.3">
      <c r="B15" s="6" t="s">
        <v>52</v>
      </c>
      <c r="C15" s="6"/>
      <c r="D15" s="7">
        <f>D13-D3</f>
        <v>22.5</v>
      </c>
    </row>
    <row r="17" spans="4:5" x14ac:dyDescent="0.3">
      <c r="D17" s="9" t="s">
        <v>49</v>
      </c>
      <c r="E17" t="s">
        <v>35</v>
      </c>
    </row>
  </sheetData>
  <mergeCells count="14">
    <mergeCell ref="B14:D14"/>
    <mergeCell ref="B15:C15"/>
    <mergeCell ref="B8:D8"/>
    <mergeCell ref="B9:C9"/>
    <mergeCell ref="B10:D10"/>
    <mergeCell ref="B11:C11"/>
    <mergeCell ref="B12:D12"/>
    <mergeCell ref="B13:C13"/>
    <mergeCell ref="B2:D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BA08-8F77-44C7-A948-22996FD9307B}">
  <dimension ref="B2:D14"/>
  <sheetViews>
    <sheetView zoomScaleNormal="100" workbookViewId="0">
      <selection activeCell="D23" sqref="D23"/>
    </sheetView>
  </sheetViews>
  <sheetFormatPr defaultRowHeight="14.4" x14ac:dyDescent="0.3"/>
  <cols>
    <col min="1" max="1" width="8.33203125" customWidth="1"/>
    <col min="2" max="2" width="24.6640625" customWidth="1"/>
    <col min="3" max="3" width="19.33203125" customWidth="1"/>
    <col min="4" max="4" width="19.77734375" customWidth="1"/>
  </cols>
  <sheetData>
    <row r="2" spans="2:4" ht="18" customHeight="1" x14ac:dyDescent="0.3">
      <c r="B2" s="36" t="s">
        <v>54</v>
      </c>
      <c r="C2" s="36"/>
      <c r="D2" s="36"/>
    </row>
    <row r="3" spans="2:4" ht="3" customHeight="1" x14ac:dyDescent="0.3">
      <c r="B3" s="5"/>
      <c r="C3" s="5"/>
      <c r="D3" s="5"/>
    </row>
    <row r="4" spans="2:4" x14ac:dyDescent="0.3">
      <c r="B4" s="39" t="s">
        <v>55</v>
      </c>
      <c r="C4" s="39" t="s">
        <v>56</v>
      </c>
      <c r="D4" s="39" t="s">
        <v>57</v>
      </c>
    </row>
    <row r="5" spans="2:4" x14ac:dyDescent="0.3">
      <c r="B5" s="40">
        <v>1</v>
      </c>
      <c r="C5" s="41">
        <v>0.12</v>
      </c>
      <c r="D5" s="41">
        <v>0.06</v>
      </c>
    </row>
    <row r="6" spans="2:4" x14ac:dyDescent="0.3">
      <c r="B6" s="40">
        <v>2</v>
      </c>
      <c r="C6" s="42">
        <v>-0.08</v>
      </c>
      <c r="D6" s="41">
        <v>0.06</v>
      </c>
    </row>
    <row r="7" spans="2:4" x14ac:dyDescent="0.3">
      <c r="B7" s="40">
        <v>3</v>
      </c>
      <c r="C7" s="41">
        <v>0.15</v>
      </c>
      <c r="D7" s="41">
        <v>0.05</v>
      </c>
    </row>
    <row r="8" spans="2:4" x14ac:dyDescent="0.3">
      <c r="B8" s="40">
        <v>4</v>
      </c>
      <c r="C8" s="41">
        <v>0.1</v>
      </c>
      <c r="D8" s="41">
        <v>0.05</v>
      </c>
    </row>
    <row r="9" spans="2:4" ht="5.4" customHeight="1" x14ac:dyDescent="0.3">
      <c r="B9" s="5"/>
      <c r="C9" s="5"/>
      <c r="D9" s="5"/>
    </row>
    <row r="10" spans="2:4" x14ac:dyDescent="0.3">
      <c r="B10" s="43" t="s">
        <v>58</v>
      </c>
      <c r="C10" s="15">
        <f>AVERAGE(C5:C8)</f>
        <v>7.2500000000000009E-2</v>
      </c>
      <c r="D10" s="15">
        <f>AVERAGE(D5:D8)</f>
        <v>5.4999999999999993E-2</v>
      </c>
    </row>
    <row r="11" spans="2:4" ht="4.8" customHeight="1" x14ac:dyDescent="0.3">
      <c r="B11" s="5"/>
      <c r="C11" s="5"/>
      <c r="D11" s="5"/>
    </row>
    <row r="12" spans="2:4" x14ac:dyDescent="0.3">
      <c r="B12" s="43" t="s">
        <v>59</v>
      </c>
      <c r="C12" s="15">
        <f>_xlfn.STDEV.S(C5:C8)</f>
        <v>0.10372238588334406</v>
      </c>
      <c r="D12" s="15">
        <f>_xlfn.STDEV.S(D5:D8)</f>
        <v>5.7735026918962545E-3</v>
      </c>
    </row>
    <row r="14" spans="2:4" x14ac:dyDescent="0.3">
      <c r="D14" s="9" t="s">
        <v>49</v>
      </c>
    </row>
  </sheetData>
  <mergeCells count="4">
    <mergeCell ref="B2:D2"/>
    <mergeCell ref="B3:D3"/>
    <mergeCell ref="B9:D9"/>
    <mergeCell ref="B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5E1A-8A23-4AD4-A745-90F3D19DC000}">
  <dimension ref="B2:E32"/>
  <sheetViews>
    <sheetView zoomScaleNormal="100" workbookViewId="0">
      <selection activeCell="G30" sqref="G30"/>
    </sheetView>
  </sheetViews>
  <sheetFormatPr defaultRowHeight="14.4" x14ac:dyDescent="0.3"/>
  <cols>
    <col min="1" max="1" width="8.6640625" customWidth="1"/>
    <col min="2" max="2" width="33.33203125" customWidth="1"/>
    <col min="3" max="3" width="30.21875" customWidth="1"/>
    <col min="4" max="4" width="30.77734375" customWidth="1"/>
  </cols>
  <sheetData>
    <row r="2" spans="2:4" ht="17.399999999999999" x14ac:dyDescent="0.3">
      <c r="B2" s="36" t="s">
        <v>60</v>
      </c>
      <c r="C2" s="36"/>
      <c r="D2" s="36"/>
    </row>
    <row r="3" spans="2:4" ht="4.8" customHeight="1" x14ac:dyDescent="0.3">
      <c r="B3" s="44"/>
      <c r="C3" s="45"/>
      <c r="D3" s="46"/>
    </row>
    <row r="4" spans="2:4" x14ac:dyDescent="0.3">
      <c r="B4" s="39" t="s">
        <v>55</v>
      </c>
      <c r="C4" s="47" t="s">
        <v>56</v>
      </c>
      <c r="D4" s="47" t="s">
        <v>57</v>
      </c>
    </row>
    <row r="5" spans="2:4" x14ac:dyDescent="0.3">
      <c r="B5" s="40">
        <v>1</v>
      </c>
      <c r="C5" s="41">
        <v>0.12</v>
      </c>
      <c r="D5" s="41">
        <v>0.06</v>
      </c>
    </row>
    <row r="6" spans="2:4" x14ac:dyDescent="0.3">
      <c r="B6" s="40">
        <v>2</v>
      </c>
      <c r="C6" s="41">
        <v>0.05</v>
      </c>
      <c r="D6" s="41">
        <v>0.06</v>
      </c>
    </row>
    <row r="7" spans="2:4" x14ac:dyDescent="0.3">
      <c r="B7" s="40">
        <v>3</v>
      </c>
      <c r="C7" s="41">
        <v>0.1</v>
      </c>
      <c r="D7" s="41">
        <v>0.05</v>
      </c>
    </row>
    <row r="8" spans="2:4" x14ac:dyDescent="0.3">
      <c r="B8" s="40">
        <v>4</v>
      </c>
      <c r="C8" s="41">
        <v>0.08</v>
      </c>
      <c r="D8" s="41">
        <v>0.05</v>
      </c>
    </row>
    <row r="9" spans="2:4" ht="5.4" customHeight="1" x14ac:dyDescent="0.3">
      <c r="B9" s="44"/>
      <c r="C9" s="45"/>
      <c r="D9" s="46"/>
    </row>
    <row r="10" spans="2:4" x14ac:dyDescent="0.3">
      <c r="B10" s="48" t="s">
        <v>61</v>
      </c>
      <c r="C10" s="15">
        <f>AVERAGE(C5:C8)</f>
        <v>8.7500000000000008E-2</v>
      </c>
      <c r="D10" s="15">
        <f>AVERAGE(D5:D8)</f>
        <v>5.4999999999999993E-2</v>
      </c>
    </row>
    <row r="11" spans="2:4" ht="4.8" customHeight="1" x14ac:dyDescent="0.3">
      <c r="B11" s="49"/>
      <c r="C11" s="50"/>
      <c r="D11" s="51"/>
    </row>
    <row r="12" spans="2:4" x14ac:dyDescent="0.3">
      <c r="B12" s="48" t="s">
        <v>59</v>
      </c>
      <c r="C12" s="15">
        <f>_xlfn.STDEV.S(C5:C8)</f>
        <v>2.9860788111948179E-2</v>
      </c>
      <c r="D12" s="15">
        <f>_xlfn.STDEV.S(D5:D8)</f>
        <v>5.7735026918962545E-3</v>
      </c>
    </row>
    <row r="13" spans="2:4" ht="4.8" customHeight="1" x14ac:dyDescent="0.3">
      <c r="B13" s="49"/>
      <c r="C13" s="50"/>
      <c r="D13" s="51"/>
    </row>
    <row r="14" spans="2:4" x14ac:dyDescent="0.3">
      <c r="B14" s="48" t="s">
        <v>62</v>
      </c>
      <c r="C14" s="15">
        <f>GEOMEAN(C5:C8)</f>
        <v>8.3235829005756351E-2</v>
      </c>
      <c r="D14" s="15">
        <f>GEOMEAN(D5:D8)</f>
        <v>5.4772255750516613E-2</v>
      </c>
    </row>
    <row r="15" spans="2:4" ht="4.2" customHeight="1" x14ac:dyDescent="0.3">
      <c r="B15" s="49"/>
      <c r="C15" s="50"/>
      <c r="D15" s="51"/>
    </row>
    <row r="16" spans="2:4" x14ac:dyDescent="0.3">
      <c r="B16" s="48" t="s">
        <v>63</v>
      </c>
      <c r="C16" s="15">
        <f>_xlfn.VAR.S(C5:C8)</f>
        <v>8.9166666666666561E-4</v>
      </c>
      <c r="D16" s="52">
        <f>_xlfn.VAR.S(D5:D8)</f>
        <v>3.3333333333333301E-5</v>
      </c>
    </row>
    <row r="17" spans="2:5" ht="4.8" customHeight="1" x14ac:dyDescent="0.3">
      <c r="B17" s="49"/>
      <c r="C17" s="50"/>
      <c r="D17" s="51"/>
    </row>
    <row r="18" spans="2:5" x14ac:dyDescent="0.3">
      <c r="B18" s="48" t="s">
        <v>64</v>
      </c>
      <c r="C18" s="15">
        <f>_xlfn.STDEV.S(C5:C8)/AVERAGE(C5:C8)</f>
        <v>0.34126614985083631</v>
      </c>
      <c r="D18" s="15">
        <f>_xlfn.STDEV.S(D5:D8)/AVERAGE(D5:D8)</f>
        <v>0.10497277621629555</v>
      </c>
    </row>
    <row r="19" spans="2:5" ht="5.4" customHeight="1" x14ac:dyDescent="0.3">
      <c r="B19" s="49"/>
      <c r="C19" s="50"/>
      <c r="D19" s="51"/>
    </row>
    <row r="20" spans="2:5" x14ac:dyDescent="0.3">
      <c r="B20" s="48" t="s">
        <v>65</v>
      </c>
      <c r="C20" s="53">
        <f>_xlfn.COVARIANCE.S(C5:C8,D5:D8)</f>
        <v>-1.6666666666666674E-5</v>
      </c>
      <c r="D20" s="53"/>
    </row>
    <row r="21" spans="2:5" ht="5.4" customHeight="1" x14ac:dyDescent="0.3">
      <c r="B21" s="49"/>
      <c r="C21" s="50"/>
      <c r="D21" s="51"/>
    </row>
    <row r="22" spans="2:5" x14ac:dyDescent="0.3">
      <c r="B22" s="48" t="s">
        <v>66</v>
      </c>
      <c r="C22" s="54">
        <f>CORREL(C5:C8,D5:D8)</f>
        <v>-9.667364890456645E-2</v>
      </c>
      <c r="D22" s="54"/>
    </row>
    <row r="23" spans="2:5" ht="4.8" customHeight="1" x14ac:dyDescent="0.3">
      <c r="B23" s="49"/>
      <c r="C23" s="50"/>
      <c r="D23" s="51"/>
    </row>
    <row r="24" spans="2:5" x14ac:dyDescent="0.3">
      <c r="B24" s="48" t="s">
        <v>67</v>
      </c>
      <c r="C24" s="55">
        <f>SLOPE(C5:C8,D5:D8)</f>
        <v>-0.50000000000000078</v>
      </c>
      <c r="D24" s="55"/>
    </row>
    <row r="25" spans="2:5" ht="5.4" customHeight="1" x14ac:dyDescent="0.3">
      <c r="B25" s="49"/>
      <c r="C25" s="50"/>
      <c r="D25" s="51"/>
    </row>
    <row r="26" spans="2:5" x14ac:dyDescent="0.3">
      <c r="B26" s="48" t="s">
        <v>68</v>
      </c>
      <c r="C26" s="55">
        <f>(C10-D10)/C12</f>
        <v>1.0883838657625988</v>
      </c>
      <c r="D26" s="55"/>
    </row>
    <row r="27" spans="2:5" ht="4.8" customHeight="1" x14ac:dyDescent="0.3">
      <c r="B27" s="49"/>
      <c r="C27" s="50"/>
      <c r="D27" s="51"/>
    </row>
    <row r="28" spans="2:5" x14ac:dyDescent="0.3">
      <c r="B28" s="48" t="s">
        <v>69</v>
      </c>
      <c r="C28" s="55">
        <f>(C10-D10)/C24</f>
        <v>-6.4999999999999933E-2</v>
      </c>
      <c r="D28" s="55"/>
    </row>
    <row r="29" spans="2:5" ht="4.8" customHeight="1" x14ac:dyDescent="0.3">
      <c r="B29" s="49"/>
      <c r="C29" s="50"/>
      <c r="D29" s="51"/>
    </row>
    <row r="30" spans="2:5" x14ac:dyDescent="0.3">
      <c r="B30" s="48" t="s">
        <v>70</v>
      </c>
      <c r="C30" s="55">
        <f>C10-(D10+C24*(C10-D10))</f>
        <v>4.8750000000000043E-2</v>
      </c>
      <c r="D30" s="55"/>
    </row>
    <row r="32" spans="2:5" x14ac:dyDescent="0.3">
      <c r="D32" s="9" t="s">
        <v>49</v>
      </c>
      <c r="E32" t="s">
        <v>35</v>
      </c>
    </row>
  </sheetData>
  <mergeCells count="19">
    <mergeCell ref="C30:D30"/>
    <mergeCell ref="C24:D24"/>
    <mergeCell ref="B25:D25"/>
    <mergeCell ref="C26:D26"/>
    <mergeCell ref="B27:D27"/>
    <mergeCell ref="C28:D28"/>
    <mergeCell ref="B29:D29"/>
    <mergeCell ref="B17:D17"/>
    <mergeCell ref="B19:D19"/>
    <mergeCell ref="C20:D20"/>
    <mergeCell ref="B21:D21"/>
    <mergeCell ref="C22:D22"/>
    <mergeCell ref="B23:D23"/>
    <mergeCell ref="B2:D2"/>
    <mergeCell ref="B3:D3"/>
    <mergeCell ref="B9:D9"/>
    <mergeCell ref="B11:D11"/>
    <mergeCell ref="B13:D13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P24-Modigliani–Miller Pro-I</vt:lpstr>
      <vt:lpstr>P25-Modigliani–Miller Pro-II</vt:lpstr>
      <vt:lpstr>P26-Interest Tax Deduction</vt:lpstr>
      <vt:lpstr>P27-Valuing the Interest Tax Sh</vt:lpstr>
      <vt:lpstr>P28-Recapitalization</vt:lpstr>
      <vt:lpstr>P29-Personal Taxes in C.S.</vt:lpstr>
      <vt:lpstr>P30-Optimal Capital Structure </vt:lpstr>
      <vt:lpstr>P31-Cost of Bankruptcy</vt:lpstr>
      <vt:lpstr>P32-FD Cost and firm value</vt:lpstr>
      <vt:lpstr>P33-The Trade-Off Theory</vt:lpstr>
      <vt:lpstr>P34-Risk and Return</vt:lpstr>
      <vt:lpstr>P35-Measures of Risk and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Khandare</dc:creator>
  <cp:lastModifiedBy>Anisha Khandare</cp:lastModifiedBy>
  <dcterms:created xsi:type="dcterms:W3CDTF">2026-01-22T07:24:41Z</dcterms:created>
  <dcterms:modified xsi:type="dcterms:W3CDTF">2026-01-22T07:27:21Z</dcterms:modified>
</cp:coreProperties>
</file>