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3d9a08e9c0d11e/ドキュメント/"/>
    </mc:Choice>
  </mc:AlternateContent>
  <xr:revisionPtr revIDLastSave="0" documentId="8_{34A30C54-284A-4601-92F1-0B6581C2DB17}" xr6:coauthVersionLast="47" xr6:coauthVersionMax="47" xr10:uidLastSave="{00000000-0000-0000-0000-000000000000}"/>
  <bookViews>
    <workbookView xWindow="-108" yWindow="-108" windowWidth="23256" windowHeight="12456" activeTab="3" xr2:uid="{E7BC183B-EB7B-4520-87F6-AE6FAE5FBDDC}"/>
  </bookViews>
  <sheets>
    <sheet name="P9-Valuing Risk-Free Bond" sheetId="1" r:id="rId1"/>
    <sheet name="P10-Zero-Coupon Risk-Free Bond" sheetId="2" r:id="rId2"/>
    <sheet name="P11-Duration" sheetId="4" r:id="rId3"/>
    <sheet name="P12-Forward Interest Rat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" l="1"/>
  <c r="B11" i="4"/>
  <c r="C10" i="4"/>
  <c r="B10" i="4"/>
  <c r="C9" i="4"/>
  <c r="B9" i="4"/>
  <c r="D11" i="4" l="1"/>
  <c r="E11" i="4" s="1"/>
  <c r="D9" i="4"/>
  <c r="E9" i="4" s="1"/>
  <c r="D10" i="4"/>
  <c r="E10" i="4" s="1"/>
  <c r="D12" i="4" l="1"/>
  <c r="D22" i="4" s="1"/>
  <c r="E12" i="4"/>
  <c r="B4" i="3"/>
  <c r="B5" i="2"/>
  <c r="B6" i="1"/>
  <c r="D14" i="4" l="1"/>
  <c r="D16" i="4" s="1"/>
  <c r="D18" i="4" s="1"/>
  <c r="D20" i="4"/>
</calcChain>
</file>

<file path=xl/sharedStrings.xml><?xml version="1.0" encoding="utf-8"?>
<sst xmlns="http://schemas.openxmlformats.org/spreadsheetml/2006/main" count="40" uniqueCount="30">
  <si>
    <t>Valuing Risk-Free Bond</t>
  </si>
  <si>
    <t xml:space="preserve">Face Value </t>
  </si>
  <si>
    <t xml:space="preserve">Coupon Rate </t>
  </si>
  <si>
    <t xml:space="preserve">Years to Maturity </t>
  </si>
  <si>
    <t xml:space="preserve">Risk-Free Rate </t>
  </si>
  <si>
    <t>Bond Price (P)</t>
  </si>
  <si>
    <t>Zero-Coupon Risk-Free Bond</t>
  </si>
  <si>
    <t>Forward Interest Rates</t>
  </si>
  <si>
    <t>1st Year Spot Rate (R1)</t>
  </si>
  <si>
    <t xml:space="preserve">2nd Year Spot Rate (R2) </t>
  </si>
  <si>
    <t>Date: 14-01-2026</t>
  </si>
  <si>
    <t>Date: 16-01-2026</t>
  </si>
  <si>
    <t>Duration</t>
  </si>
  <si>
    <t>Face Value</t>
  </si>
  <si>
    <t>Years to Maturity</t>
  </si>
  <si>
    <t>Annual Coupon Rate</t>
  </si>
  <si>
    <t>Yield to Maturity</t>
  </si>
  <si>
    <t>Change in Yield</t>
  </si>
  <si>
    <t>Cash Flow</t>
  </si>
  <si>
    <t>PV Factor</t>
  </si>
  <si>
    <t>PV of CF</t>
  </si>
  <si>
    <t>t x PV</t>
  </si>
  <si>
    <t>Sum</t>
  </si>
  <si>
    <t>Macaulay Duration (D_Mac)</t>
  </si>
  <si>
    <t>years</t>
  </si>
  <si>
    <t>Modified Duration</t>
  </si>
  <si>
    <t>%</t>
  </si>
  <si>
    <t>Approximate Change</t>
  </si>
  <si>
    <t>Bond New Price</t>
  </si>
  <si>
    <t>Current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</si>
</sst>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&quot;₹&quot;\ #,##0.00"/>
    <numFmt numFmtId="165" formatCode="[$₹-4009]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0" borderId="0"/>
  </cellStyleXfs>
  <cellXfs count="39">
    <xf numFmtId="0" fontId="0" fillId="0" borderId="0" xfId="0"/>
    <xf numFmtId="14" fontId="0" fillId="0" borderId="0" xfId="0" applyNumberFormat="1"/>
    <xf numFmtId="0" fontId="1" fillId="5" borderId="3" xfId="4" applyBorder="1"/>
    <xf numFmtId="164" fontId="1" fillId="5" borderId="3" xfId="4" applyNumberFormat="1" applyBorder="1"/>
    <xf numFmtId="9" fontId="1" fillId="5" borderId="3" xfId="4" applyNumberFormat="1" applyBorder="1"/>
    <xf numFmtId="0" fontId="0" fillId="5" borderId="3" xfId="4" applyFont="1" applyBorder="1"/>
    <xf numFmtId="0" fontId="1" fillId="6" borderId="3" xfId="5" applyBorder="1"/>
    <xf numFmtId="164" fontId="1" fillId="6" borderId="3" xfId="5" applyNumberFormat="1" applyBorder="1"/>
    <xf numFmtId="8" fontId="1" fillId="6" borderId="3" xfId="5" applyNumberFormat="1" applyBorder="1"/>
    <xf numFmtId="0" fontId="5" fillId="7" borderId="3" xfId="6" applyFont="1" applyFill="1" applyBorder="1"/>
    <xf numFmtId="10" fontId="5" fillId="7" borderId="3" xfId="6" applyNumberFormat="1" applyFont="1" applyFill="1" applyBorder="1" applyAlignment="1">
      <alignment horizontal="center" vertical="center"/>
    </xf>
    <xf numFmtId="164" fontId="1" fillId="6" borderId="3" xfId="5" applyNumberFormat="1" applyBorder="1" applyAlignment="1">
      <alignment horizontal="center" vertical="center"/>
    </xf>
    <xf numFmtId="0" fontId="1" fillId="5" borderId="0" xfId="4" applyAlignment="1">
      <alignment horizontal="right"/>
    </xf>
    <xf numFmtId="0" fontId="6" fillId="3" borderId="3" xfId="2" applyFont="1" applyBorder="1" applyAlignment="1">
      <alignment horizontal="center"/>
    </xf>
    <xf numFmtId="0" fontId="7" fillId="3" borderId="3" xfId="2" applyFont="1" applyBorder="1" applyAlignment="1">
      <alignment horizontal="center"/>
    </xf>
    <xf numFmtId="0" fontId="0" fillId="0" borderId="4" xfId="0" applyBorder="1"/>
    <xf numFmtId="0" fontId="8" fillId="0" borderId="0" xfId="0" applyFont="1"/>
    <xf numFmtId="0" fontId="1" fillId="5" borderId="3" xfId="4" applyBorder="1" applyAlignment="1">
      <alignment horizontal="center"/>
    </xf>
    <xf numFmtId="165" fontId="1" fillId="5" borderId="3" xfId="4" applyNumberFormat="1" applyBorder="1" applyAlignment="1">
      <alignment horizontal="center"/>
    </xf>
    <xf numFmtId="9" fontId="1" fillId="5" borderId="3" xfId="4" applyNumberFormat="1" applyBorder="1" applyAlignment="1">
      <alignment horizontal="center"/>
    </xf>
    <xf numFmtId="10" fontId="1" fillId="5" borderId="3" xfId="4" applyNumberFormat="1" applyBorder="1" applyAlignment="1">
      <alignment horizontal="center"/>
    </xf>
    <xf numFmtId="0" fontId="2" fillId="2" borderId="3" xfId="1" applyBorder="1" applyAlignment="1">
      <alignment horizontal="center"/>
    </xf>
    <xf numFmtId="0" fontId="1" fillId="5" borderId="3" xfId="4" applyBorder="1" applyAlignment="1">
      <alignment horizontal="center"/>
    </xf>
    <xf numFmtId="165" fontId="1" fillId="5" borderId="3" xfId="4" applyNumberFormat="1" applyBorder="1"/>
    <xf numFmtId="2" fontId="1" fillId="5" borderId="3" xfId="4" applyNumberFormat="1" applyBorder="1"/>
    <xf numFmtId="0" fontId="1" fillId="6" borderId="3" xfId="5" applyBorder="1" applyAlignment="1">
      <alignment horizontal="center"/>
    </xf>
    <xf numFmtId="2" fontId="1" fillId="6" borderId="3" xfId="5" applyNumberFormat="1" applyBorder="1"/>
    <xf numFmtId="0" fontId="3" fillId="4" borderId="3" xfId="3" applyBorder="1" applyAlignment="1">
      <alignment horizontal="center"/>
    </xf>
    <xf numFmtId="2" fontId="3" fillId="4" borderId="3" xfId="3" applyNumberFormat="1" applyBorder="1" applyAlignment="1">
      <alignment horizontal="center"/>
    </xf>
    <xf numFmtId="0" fontId="3" fillId="4" borderId="3" xfId="3" applyBorder="1"/>
    <xf numFmtId="165" fontId="3" fillId="4" borderId="3" xfId="3" applyNumberFormat="1" applyBorder="1" applyAlignment="1"/>
    <xf numFmtId="0" fontId="8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65" fontId="3" fillId="4" borderId="3" xfId="3" applyNumberFormat="1" applyBorder="1" applyAlignment="1">
      <alignment horizontal="center"/>
    </xf>
  </cellXfs>
  <cellStyles count="7">
    <cellStyle name="20% - Accent1" xfId="4" builtinId="30"/>
    <cellStyle name="60% - Accent1" xfId="5" builtinId="32"/>
    <cellStyle name="Accent1" xfId="3" builtinId="29"/>
    <cellStyle name="Input" xfId="1" builtinId="20"/>
    <cellStyle name="Normal" xfId="0" builtinId="0"/>
    <cellStyle name="Normal 2" xfId="6" xr:uid="{807AFEB4-2843-4D35-9251-1024EA92E909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B063-A233-4426-AFBD-045A6DFA907E}">
  <dimension ref="A1:D8"/>
  <sheetViews>
    <sheetView zoomScale="137" zoomScaleNormal="100" workbookViewId="0">
      <selection activeCell="I17" sqref="I17"/>
    </sheetView>
  </sheetViews>
  <sheetFormatPr defaultRowHeight="14.4" x14ac:dyDescent="0.3"/>
  <cols>
    <col min="1" max="1" width="24.21875" customWidth="1"/>
    <col min="2" max="2" width="22.5546875" customWidth="1"/>
    <col min="4" max="4" width="12.33203125" customWidth="1"/>
  </cols>
  <sheetData>
    <row r="1" spans="1:4" ht="17.399999999999999" x14ac:dyDescent="0.3">
      <c r="A1" s="13" t="s">
        <v>0</v>
      </c>
      <c r="B1" s="13"/>
      <c r="D1" s="1"/>
    </row>
    <row r="2" spans="1:4" x14ac:dyDescent="0.3">
      <c r="A2" s="2" t="s">
        <v>1</v>
      </c>
      <c r="B2" s="3">
        <v>1000</v>
      </c>
    </row>
    <row r="3" spans="1:4" x14ac:dyDescent="0.3">
      <c r="A3" s="2" t="s">
        <v>2</v>
      </c>
      <c r="B3" s="4">
        <v>0.08</v>
      </c>
    </row>
    <row r="4" spans="1:4" x14ac:dyDescent="0.3">
      <c r="A4" s="2" t="s">
        <v>3</v>
      </c>
      <c r="B4" s="2">
        <v>3</v>
      </c>
    </row>
    <row r="5" spans="1:4" x14ac:dyDescent="0.3">
      <c r="A5" s="5" t="s">
        <v>4</v>
      </c>
      <c r="B5" s="4">
        <v>0.06</v>
      </c>
    </row>
    <row r="6" spans="1:4" x14ac:dyDescent="0.3">
      <c r="A6" s="6" t="s">
        <v>5</v>
      </c>
      <c r="B6" s="7">
        <f>-PV(B5,B4,B2*B3,B2)</f>
        <v>1053.4602389892327</v>
      </c>
    </row>
    <row r="8" spans="1:4" x14ac:dyDescent="0.3">
      <c r="B8" s="12" t="s">
        <v>10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D442-9FC3-4C8E-8069-1406150D6270}">
  <dimension ref="A1:D7"/>
  <sheetViews>
    <sheetView zoomScale="148" zoomScaleNormal="100" workbookViewId="0">
      <selection activeCell="B5" sqref="B5"/>
    </sheetView>
  </sheetViews>
  <sheetFormatPr defaultRowHeight="14.4" x14ac:dyDescent="0.3"/>
  <cols>
    <col min="1" max="1" width="20.88671875" customWidth="1"/>
    <col min="2" max="2" width="22.5546875" customWidth="1"/>
    <col min="4" max="4" width="10.6640625" bestFit="1" customWidth="1"/>
  </cols>
  <sheetData>
    <row r="1" spans="1:4" ht="17.399999999999999" x14ac:dyDescent="0.3">
      <c r="A1" s="13" t="s">
        <v>6</v>
      </c>
      <c r="B1" s="13"/>
      <c r="D1" s="1"/>
    </row>
    <row r="2" spans="1:4" x14ac:dyDescent="0.3">
      <c r="A2" s="2" t="s">
        <v>1</v>
      </c>
      <c r="B2" s="3">
        <v>10000</v>
      </c>
    </row>
    <row r="3" spans="1:4" x14ac:dyDescent="0.3">
      <c r="A3" s="2" t="s">
        <v>3</v>
      </c>
      <c r="B3" s="2">
        <v>5</v>
      </c>
    </row>
    <row r="4" spans="1:4" x14ac:dyDescent="0.3">
      <c r="A4" s="5" t="s">
        <v>4</v>
      </c>
      <c r="B4" s="4">
        <v>0.05</v>
      </c>
    </row>
    <row r="5" spans="1:4" x14ac:dyDescent="0.3">
      <c r="A5" s="6" t="s">
        <v>5</v>
      </c>
      <c r="B5" s="8">
        <f>-PV(B4,B3,0,B2)</f>
        <v>7835.2616646845891</v>
      </c>
    </row>
    <row r="7" spans="1:4" x14ac:dyDescent="0.3">
      <c r="B7" s="12" t="s">
        <v>10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6E92-13EA-4973-9AC9-9C0CEC743247}">
  <dimension ref="A1:G25"/>
  <sheetViews>
    <sheetView zoomScale="114" zoomScaleNormal="160" workbookViewId="0">
      <selection activeCell="J9" sqref="J9"/>
    </sheetView>
  </sheetViews>
  <sheetFormatPr defaultRowHeight="14.4" x14ac:dyDescent="0.3"/>
  <cols>
    <col min="1" max="1" width="20.109375" customWidth="1"/>
    <col min="2" max="2" width="16.88671875" customWidth="1"/>
    <col min="3" max="3" width="17.109375" customWidth="1"/>
    <col min="4" max="4" width="17.33203125" customWidth="1"/>
    <col min="5" max="5" width="17.88671875" customWidth="1"/>
    <col min="6" max="6" width="17" customWidth="1"/>
    <col min="7" max="7" width="5.77734375" customWidth="1"/>
  </cols>
  <sheetData>
    <row r="1" spans="1:7" ht="17.399999999999999" x14ac:dyDescent="0.3">
      <c r="A1" s="13" t="s">
        <v>12</v>
      </c>
      <c r="B1" s="13"/>
      <c r="C1" s="13"/>
      <c r="D1" s="13"/>
      <c r="E1" s="13"/>
    </row>
    <row r="2" spans="1:7" x14ac:dyDescent="0.3">
      <c r="A2" s="17" t="s">
        <v>13</v>
      </c>
      <c r="B2" s="17"/>
      <c r="C2" s="17"/>
      <c r="D2" s="18">
        <v>1000</v>
      </c>
      <c r="E2" s="18"/>
    </row>
    <row r="3" spans="1:7" x14ac:dyDescent="0.3">
      <c r="A3" s="17" t="s">
        <v>14</v>
      </c>
      <c r="B3" s="17"/>
      <c r="C3" s="17"/>
      <c r="D3" s="17">
        <v>3</v>
      </c>
      <c r="E3" s="17"/>
      <c r="G3" s="15"/>
    </row>
    <row r="4" spans="1:7" x14ac:dyDescent="0.3">
      <c r="A4" s="17" t="s">
        <v>15</v>
      </c>
      <c r="B4" s="17"/>
      <c r="C4" s="17"/>
      <c r="D4" s="19">
        <v>0.1</v>
      </c>
      <c r="E4" s="19"/>
    </row>
    <row r="5" spans="1:7" x14ac:dyDescent="0.3">
      <c r="A5" s="17" t="s">
        <v>16</v>
      </c>
      <c r="B5" s="17"/>
      <c r="C5" s="17"/>
      <c r="D5" s="19">
        <v>0.08</v>
      </c>
      <c r="E5" s="19"/>
    </row>
    <row r="6" spans="1:7" x14ac:dyDescent="0.3">
      <c r="A6" s="17" t="s">
        <v>17</v>
      </c>
      <c r="B6" s="17"/>
      <c r="C6" s="17"/>
      <c r="D6" s="20">
        <v>5.0000000000000001E-3</v>
      </c>
      <c r="E6" s="20"/>
    </row>
    <row r="7" spans="1:7" x14ac:dyDescent="0.3">
      <c r="A7" s="34"/>
      <c r="B7" s="34"/>
      <c r="C7" s="34"/>
      <c r="D7" s="34"/>
      <c r="E7" s="34"/>
    </row>
    <row r="8" spans="1:7" x14ac:dyDescent="0.3">
      <c r="A8" s="21" t="s">
        <v>14</v>
      </c>
      <c r="B8" s="21" t="s">
        <v>18</v>
      </c>
      <c r="C8" s="21" t="s">
        <v>19</v>
      </c>
      <c r="D8" s="21" t="s">
        <v>20</v>
      </c>
      <c r="E8" s="21" t="s">
        <v>21</v>
      </c>
    </row>
    <row r="9" spans="1:7" x14ac:dyDescent="0.3">
      <c r="A9" s="22">
        <v>1</v>
      </c>
      <c r="B9" s="23">
        <f>$D$2*$D$4</f>
        <v>100</v>
      </c>
      <c r="C9" s="24">
        <f>1/(1+$D$5)^A9</f>
        <v>0.92592592592592582</v>
      </c>
      <c r="D9" s="24">
        <f>B9*C9</f>
        <v>92.592592592592581</v>
      </c>
      <c r="E9" s="24">
        <f>A9*D9</f>
        <v>92.592592592592581</v>
      </c>
    </row>
    <row r="10" spans="1:7" x14ac:dyDescent="0.3">
      <c r="A10" s="22">
        <v>2</v>
      </c>
      <c r="B10" s="23">
        <f>$D$2*$D$4</f>
        <v>100</v>
      </c>
      <c r="C10" s="24">
        <f>1/(1+$D$5)^A10</f>
        <v>0.85733882030178321</v>
      </c>
      <c r="D10" s="24">
        <f t="shared" ref="D10:D11" si="0">B10*C10</f>
        <v>85.733882030178322</v>
      </c>
      <c r="E10" s="24">
        <f t="shared" ref="E10:E11" si="1">A10*D10</f>
        <v>171.46776406035664</v>
      </c>
    </row>
    <row r="11" spans="1:7" x14ac:dyDescent="0.3">
      <c r="A11" s="22">
        <v>3</v>
      </c>
      <c r="B11" s="23">
        <f>$D$2*$D$4+$D$2</f>
        <v>1100</v>
      </c>
      <c r="C11" s="24">
        <f>1/(1+$D$5)^A11</f>
        <v>0.79383224102016958</v>
      </c>
      <c r="D11" s="24">
        <f t="shared" si="0"/>
        <v>873.21546512218652</v>
      </c>
      <c r="E11" s="24">
        <f t="shared" si="1"/>
        <v>2619.6463953665598</v>
      </c>
    </row>
    <row r="12" spans="1:7" x14ac:dyDescent="0.3">
      <c r="A12" s="25" t="s">
        <v>22</v>
      </c>
      <c r="B12" s="25"/>
      <c r="C12" s="25"/>
      <c r="D12" s="26">
        <f>D9+D10+D11</f>
        <v>1051.5419397449573</v>
      </c>
      <c r="E12" s="26">
        <f>E9+E10+E11</f>
        <v>2883.7067520195092</v>
      </c>
    </row>
    <row r="13" spans="1:7" ht="4.8" customHeight="1" x14ac:dyDescent="0.3">
      <c r="A13" s="36"/>
      <c r="B13" s="34"/>
      <c r="C13" s="34"/>
      <c r="D13" s="34"/>
      <c r="E13" s="37"/>
    </row>
    <row r="14" spans="1:7" x14ac:dyDescent="0.3">
      <c r="A14" s="27" t="s">
        <v>23</v>
      </c>
      <c r="B14" s="27"/>
      <c r="C14" s="27"/>
      <c r="D14" s="28">
        <f>(E12/D12)</f>
        <v>2.7423601884285547</v>
      </c>
      <c r="E14" s="29" t="s">
        <v>24</v>
      </c>
    </row>
    <row r="15" spans="1:7" ht="4.8" customHeight="1" x14ac:dyDescent="0.3">
      <c r="A15" s="33"/>
      <c r="B15" s="34"/>
      <c r="C15" s="34"/>
      <c r="D15" s="34"/>
      <c r="E15" s="35"/>
    </row>
    <row r="16" spans="1:7" x14ac:dyDescent="0.3">
      <c r="A16" s="27" t="s">
        <v>25</v>
      </c>
      <c r="B16" s="27"/>
      <c r="C16" s="27"/>
      <c r="D16" s="28">
        <f>D14/(1+(D5))</f>
        <v>2.539222396693106</v>
      </c>
      <c r="E16" s="29" t="s">
        <v>26</v>
      </c>
    </row>
    <row r="17" spans="1:6" ht="4.8" customHeight="1" x14ac:dyDescent="0.3">
      <c r="A17" s="32"/>
      <c r="B17" s="32"/>
      <c r="C17" s="32"/>
      <c r="D17" s="32"/>
      <c r="E17" s="32"/>
    </row>
    <row r="18" spans="1:6" x14ac:dyDescent="0.3">
      <c r="A18" s="27" t="s">
        <v>27</v>
      </c>
      <c r="B18" s="27"/>
      <c r="C18" s="27"/>
      <c r="D18" s="28">
        <f>-D16*D6*100</f>
        <v>-1.269611198346553</v>
      </c>
      <c r="E18" s="29" t="s">
        <v>26</v>
      </c>
    </row>
    <row r="19" spans="1:6" ht="4.8" customHeight="1" x14ac:dyDescent="0.3">
      <c r="A19" s="32"/>
      <c r="B19" s="32"/>
      <c r="C19" s="32"/>
      <c r="D19" s="32"/>
      <c r="E19" s="32"/>
    </row>
    <row r="20" spans="1:6" x14ac:dyDescent="0.3">
      <c r="A20" s="27" t="s">
        <v>28</v>
      </c>
      <c r="B20" s="27"/>
      <c r="C20" s="27"/>
      <c r="D20" s="38">
        <f>D12*(1-D16*D6)</f>
        <v>1038.1914455226447</v>
      </c>
      <c r="E20" s="30"/>
    </row>
    <row r="21" spans="1:6" ht="4.8" customHeight="1" x14ac:dyDescent="0.3">
      <c r="A21" s="31"/>
      <c r="B21" s="31"/>
      <c r="C21" s="31"/>
      <c r="D21" s="31"/>
      <c r="E21" s="31"/>
    </row>
    <row r="22" spans="1:6" x14ac:dyDescent="0.3">
      <c r="A22" s="27" t="s">
        <v>29</v>
      </c>
      <c r="B22" s="27"/>
      <c r="C22" s="27"/>
      <c r="D22" s="28">
        <f>(D2*D4)/D12*100</f>
        <v>9.5098441840802064</v>
      </c>
      <c r="E22" s="29" t="s">
        <v>26</v>
      </c>
    </row>
    <row r="24" spans="1:6" x14ac:dyDescent="0.3">
      <c r="E24" s="12" t="s">
        <v>11</v>
      </c>
    </row>
    <row r="25" spans="1:6" x14ac:dyDescent="0.3">
      <c r="F25" s="16"/>
    </row>
  </sheetData>
  <mergeCells count="23">
    <mergeCell ref="A17:E17"/>
    <mergeCell ref="A15:E15"/>
    <mergeCell ref="A13:E13"/>
    <mergeCell ref="A7:E7"/>
    <mergeCell ref="A22:C22"/>
    <mergeCell ref="A1:E1"/>
    <mergeCell ref="A2:C2"/>
    <mergeCell ref="A3:C3"/>
    <mergeCell ref="A4:C4"/>
    <mergeCell ref="A5:C5"/>
    <mergeCell ref="A6:C6"/>
    <mergeCell ref="D2:E2"/>
    <mergeCell ref="D3:E3"/>
    <mergeCell ref="A20:C20"/>
    <mergeCell ref="A21:E21"/>
    <mergeCell ref="A14:C14"/>
    <mergeCell ref="A16:C16"/>
    <mergeCell ref="A18:C18"/>
    <mergeCell ref="A19:E19"/>
    <mergeCell ref="A12:C12"/>
    <mergeCell ref="D4:E4"/>
    <mergeCell ref="D5:E5"/>
    <mergeCell ref="D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6095-2B4A-416C-826D-F25733D36FD8}">
  <dimension ref="A1:D6"/>
  <sheetViews>
    <sheetView tabSelected="1" zoomScale="163" zoomScaleNormal="100" workbookViewId="0">
      <selection activeCell="H15" sqref="H15"/>
    </sheetView>
  </sheetViews>
  <sheetFormatPr defaultRowHeight="14.4" x14ac:dyDescent="0.3"/>
  <cols>
    <col min="1" max="1" width="25.33203125" customWidth="1"/>
    <col min="2" max="2" width="19.21875" customWidth="1"/>
    <col min="4" max="4" width="10.33203125" bestFit="1" customWidth="1"/>
  </cols>
  <sheetData>
    <row r="1" spans="1:4" ht="17.399999999999999" x14ac:dyDescent="0.3">
      <c r="A1" s="14" t="s">
        <v>7</v>
      </c>
      <c r="B1" s="14"/>
      <c r="D1" s="1"/>
    </row>
    <row r="2" spans="1:4" x14ac:dyDescent="0.3">
      <c r="A2" s="9" t="s">
        <v>8</v>
      </c>
      <c r="B2" s="10">
        <v>0.05</v>
      </c>
    </row>
    <row r="3" spans="1:4" x14ac:dyDescent="0.3">
      <c r="A3" s="9" t="s">
        <v>9</v>
      </c>
      <c r="B3" s="10">
        <v>0.06</v>
      </c>
    </row>
    <row r="4" spans="1:4" x14ac:dyDescent="0.3">
      <c r="A4" s="6" t="s">
        <v>7</v>
      </c>
      <c r="B4" s="11">
        <f>(((1+B3)^2/(1+B2)^1)-1)*100</f>
        <v>7.009523809523821</v>
      </c>
    </row>
    <row r="6" spans="1:4" x14ac:dyDescent="0.3">
      <c r="B6" s="12" t="s">
        <v>11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P9-Valuing Risk-Free Bond</vt:lpstr>
      <vt:lpstr>P10-Zero-Coupon Risk-Free Bond</vt:lpstr>
      <vt:lpstr>P11-Duration</vt:lpstr>
      <vt:lpstr>P12-Forward Interest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Khandare</dc:creator>
  <cp:lastModifiedBy>Anisha Khandare</cp:lastModifiedBy>
  <dcterms:created xsi:type="dcterms:W3CDTF">2026-01-20T16:27:22Z</dcterms:created>
  <dcterms:modified xsi:type="dcterms:W3CDTF">2026-01-20T17:03:28Z</dcterms:modified>
</cp:coreProperties>
</file>