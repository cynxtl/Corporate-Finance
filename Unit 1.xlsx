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3d9a08e9c0d11e/ドキュメント/"/>
    </mc:Choice>
  </mc:AlternateContent>
  <xr:revisionPtr revIDLastSave="0" documentId="8_{FC8AF8C6-6CF8-4932-8B01-82EDA9C6B634}" xr6:coauthVersionLast="47" xr6:coauthVersionMax="47" xr10:uidLastSave="{00000000-0000-0000-0000-000000000000}"/>
  <bookViews>
    <workbookView xWindow="-108" yWindow="-108" windowWidth="23256" windowHeight="12456" activeTab="7" xr2:uid="{095DEA2B-195C-4703-8310-775E85C26F69}"/>
  </bookViews>
  <sheets>
    <sheet name="P1-Simple Interest" sheetId="2" r:id="rId1"/>
    <sheet name="P2-Compound Interest " sheetId="3" r:id="rId2"/>
    <sheet name="P3-Present Value" sheetId="4" r:id="rId3"/>
    <sheet name="P4-Future Value" sheetId="5" r:id="rId4"/>
    <sheet name="P5-Cash Payment(EMI)" sheetId="6" r:id="rId5"/>
    <sheet name="P6-NPV " sheetId="7" r:id="rId6"/>
    <sheet name="P7-NPV Comparing" sheetId="8" r:id="rId7"/>
    <sheet name="P8-Free Cash Flow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9" l="1"/>
  <c r="B10" i="9" s="1"/>
  <c r="D9" i="8"/>
  <c r="C9" i="8"/>
  <c r="B9" i="8"/>
  <c r="B7" i="7"/>
  <c r="B12" i="6"/>
  <c r="B10" i="6"/>
  <c r="B8" i="6"/>
  <c r="B6" i="6"/>
  <c r="F6" i="5"/>
  <c r="B6" i="5"/>
  <c r="F6" i="4"/>
  <c r="B6" i="4"/>
  <c r="B7" i="3"/>
  <c r="B5" i="2"/>
  <c r="B6" i="2" s="1"/>
  <c r="D7" i="3" l="1"/>
  <c r="B8" i="3" s="1"/>
  <c r="C7" i="3"/>
  <c r="D8" i="3" l="1"/>
  <c r="B9" i="3" s="1"/>
  <c r="C8" i="3"/>
  <c r="D9" i="3" l="1"/>
  <c r="B10" i="3" s="1"/>
  <c r="C9" i="3"/>
  <c r="D10" i="3" l="1"/>
  <c r="B11" i="3" s="1"/>
  <c r="C10" i="3"/>
  <c r="D11" i="3" l="1"/>
  <c r="B12" i="3" s="1"/>
  <c r="C11" i="3"/>
  <c r="D12" i="3" l="1"/>
  <c r="B13" i="3" s="1"/>
  <c r="C12" i="3"/>
  <c r="D13" i="3" l="1"/>
  <c r="B14" i="3" s="1"/>
  <c r="C13" i="3"/>
  <c r="D14" i="3" l="1"/>
  <c r="B15" i="3" s="1"/>
  <c r="C14" i="3"/>
  <c r="C15" i="3" l="1"/>
  <c r="D15" i="3" s="1"/>
  <c r="B16" i="3" s="1"/>
  <c r="C16" i="3" l="1"/>
  <c r="D16" i="3"/>
</calcChain>
</file>

<file path=xl/sharedStrings.xml><?xml version="1.0" encoding="utf-8"?>
<sst xmlns="http://schemas.openxmlformats.org/spreadsheetml/2006/main" count="96" uniqueCount="65">
  <si>
    <t>Simple Interest (SI)</t>
  </si>
  <si>
    <t xml:space="preserve">Principal </t>
  </si>
  <si>
    <t>Annual Interest Rate</t>
  </si>
  <si>
    <t xml:space="preserve">Time (in years) </t>
  </si>
  <si>
    <t>Total Amount (A)</t>
  </si>
  <si>
    <t>Compound Interest Calculator</t>
  </si>
  <si>
    <t>Principal Amount</t>
  </si>
  <si>
    <t>Rate of Interest</t>
  </si>
  <si>
    <t>Time (in years)</t>
  </si>
  <si>
    <t>Year</t>
  </si>
  <si>
    <t>Principle Amount</t>
  </si>
  <si>
    <t>Interest</t>
  </si>
  <si>
    <t>Compound Interest</t>
  </si>
  <si>
    <t>EOY</t>
  </si>
  <si>
    <t>1 Year</t>
  </si>
  <si>
    <t>2 Year</t>
  </si>
  <si>
    <t>3 Year</t>
  </si>
  <si>
    <t>4 Year</t>
  </si>
  <si>
    <t>5 Year</t>
  </si>
  <si>
    <t>6 Year</t>
  </si>
  <si>
    <t>7 Year</t>
  </si>
  <si>
    <t>8 Year</t>
  </si>
  <si>
    <t>9 Year</t>
  </si>
  <si>
    <t>10 Year</t>
  </si>
  <si>
    <t>Ordinary Annuity</t>
  </si>
  <si>
    <t>Annuity Due</t>
  </si>
  <si>
    <t>Present Value (PV)</t>
  </si>
  <si>
    <t>Future Value</t>
  </si>
  <si>
    <t>Interest Rate</t>
  </si>
  <si>
    <t>Future Value (FV)</t>
  </si>
  <si>
    <t>Present Value</t>
  </si>
  <si>
    <t>Cash Payments (EMI)</t>
  </si>
  <si>
    <t xml:space="preserve">Amount </t>
  </si>
  <si>
    <t xml:space="preserve">Interest Rate </t>
  </si>
  <si>
    <t xml:space="preserve">Period (in years) </t>
  </si>
  <si>
    <t>Annual Payments</t>
  </si>
  <si>
    <t>Monthly Payments</t>
  </si>
  <si>
    <t>Quarterly Payments</t>
  </si>
  <si>
    <t>Semi-Annual Payments</t>
  </si>
  <si>
    <t>Standalone Project</t>
  </si>
  <si>
    <t>Net Present Value (NPV)</t>
  </si>
  <si>
    <t>Initial Investment</t>
  </si>
  <si>
    <t>Discount Rate</t>
  </si>
  <si>
    <t>1st Year</t>
  </si>
  <si>
    <t>2nd Year</t>
  </si>
  <si>
    <t>3rd Year</t>
  </si>
  <si>
    <t>4th year</t>
  </si>
  <si>
    <t>Cash Flow</t>
  </si>
  <si>
    <t>Comparing Mutually Exclusive Projects</t>
  </si>
  <si>
    <t>Project "A"</t>
  </si>
  <si>
    <t>Project "B"</t>
  </si>
  <si>
    <t>Project "C"</t>
  </si>
  <si>
    <t>Net Present Value(NPV)</t>
  </si>
  <si>
    <t>Free Cash Flow</t>
  </si>
  <si>
    <t>Item</t>
  </si>
  <si>
    <t>Value</t>
  </si>
  <si>
    <t>EBIT</t>
  </si>
  <si>
    <t>Tax Rate</t>
  </si>
  <si>
    <t>Net Operating Profit After Tax</t>
  </si>
  <si>
    <t>Depreciation</t>
  </si>
  <si>
    <t>Change in Working Capital</t>
  </si>
  <si>
    <t>Capital Expenditure</t>
  </si>
  <si>
    <t>Date: 12-01-2026</t>
  </si>
  <si>
    <t>Date: 13-01-2026</t>
  </si>
  <si>
    <t>Date: 14-01-2026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</si>
</sst>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4"/>
      <name val="Times New Roman"/>
      <family val="1"/>
    </font>
    <font>
      <b/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42">
    <xf numFmtId="0" fontId="0" fillId="0" borderId="0" xfId="0"/>
    <xf numFmtId="14" fontId="0" fillId="0" borderId="0" xfId="0" applyNumberFormat="1"/>
    <xf numFmtId="0" fontId="1" fillId="6" borderId="3" xfId="5" applyBorder="1"/>
    <xf numFmtId="164" fontId="1" fillId="6" borderId="3" xfId="5" applyNumberFormat="1" applyBorder="1"/>
    <xf numFmtId="9" fontId="1" fillId="6" borderId="3" xfId="5" applyNumberFormat="1" applyBorder="1"/>
    <xf numFmtId="0" fontId="1" fillId="7" borderId="3" xfId="6" applyBorder="1"/>
    <xf numFmtId="164" fontId="1" fillId="7" borderId="3" xfId="6" applyNumberFormat="1" applyBorder="1"/>
    <xf numFmtId="0" fontId="5" fillId="5" borderId="3" xfId="4" applyBorder="1"/>
    <xf numFmtId="164" fontId="5" fillId="5" borderId="3" xfId="4" applyNumberFormat="1" applyBorder="1"/>
    <xf numFmtId="0" fontId="1" fillId="8" borderId="3" xfId="7" applyBorder="1" applyAlignment="1">
      <alignment horizontal="center"/>
    </xf>
    <xf numFmtId="164" fontId="1" fillId="8" borderId="3" xfId="7" applyNumberFormat="1" applyBorder="1" applyAlignment="1">
      <alignment horizontal="center"/>
    </xf>
    <xf numFmtId="9" fontId="1" fillId="8" borderId="3" xfId="7" applyNumberFormat="1" applyBorder="1" applyAlignment="1">
      <alignment horizontal="center"/>
    </xf>
    <xf numFmtId="0" fontId="1" fillId="8" borderId="3" xfId="7" applyBorder="1" applyAlignment="1">
      <alignment horizontal="center"/>
    </xf>
    <xf numFmtId="0" fontId="0" fillId="0" borderId="0" xfId="0" applyAlignment="1">
      <alignment horizontal="center"/>
    </xf>
    <xf numFmtId="0" fontId="5" fillId="5" borderId="3" xfId="4" applyBorder="1" applyAlignment="1">
      <alignment horizontal="center"/>
    </xf>
    <xf numFmtId="0" fontId="1" fillId="6" borderId="3" xfId="5" applyBorder="1" applyAlignment="1">
      <alignment horizontal="center"/>
    </xf>
    <xf numFmtId="164" fontId="1" fillId="6" borderId="3" xfId="5" applyNumberFormat="1" applyBorder="1" applyAlignment="1">
      <alignment horizontal="center"/>
    </xf>
    <xf numFmtId="0" fontId="3" fillId="3" borderId="3" xfId="2" applyBorder="1" applyAlignment="1">
      <alignment horizontal="center"/>
    </xf>
    <xf numFmtId="8" fontId="1" fillId="7" borderId="3" xfId="6" applyNumberFormat="1" applyBorder="1"/>
    <xf numFmtId="8" fontId="5" fillId="5" borderId="3" xfId="4" applyNumberFormat="1" applyBorder="1"/>
    <xf numFmtId="0" fontId="2" fillId="2" borderId="3" xfId="1" applyBorder="1" applyAlignment="1">
      <alignment horizontal="center"/>
    </xf>
    <xf numFmtId="164" fontId="1" fillId="6" borderId="3" xfId="5" applyNumberFormat="1" applyBorder="1" applyAlignment="1">
      <alignment horizontal="center"/>
    </xf>
    <xf numFmtId="9" fontId="1" fillId="6" borderId="3" xfId="5" applyNumberFormat="1" applyBorder="1" applyAlignment="1">
      <alignment horizontal="center"/>
    </xf>
    <xf numFmtId="164" fontId="1" fillId="7" borderId="3" xfId="6" applyNumberFormat="1" applyBorder="1" applyAlignment="1">
      <alignment horizontal="center"/>
    </xf>
    <xf numFmtId="0" fontId="3" fillId="3" borderId="3" xfId="2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164" fontId="1" fillId="6" borderId="3" xfId="5" applyNumberFormat="1" applyBorder="1" applyAlignment="1">
      <alignment horizontal="center" vertical="center"/>
    </xf>
    <xf numFmtId="9" fontId="1" fillId="6" borderId="3" xfId="5" applyNumberFormat="1" applyBorder="1" applyAlignment="1">
      <alignment horizontal="center" vertical="center"/>
    </xf>
    <xf numFmtId="0" fontId="4" fillId="6" borderId="3" xfId="5" applyFont="1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164" fontId="1" fillId="7" borderId="3" xfId="6" applyNumberFormat="1" applyBorder="1" applyAlignment="1">
      <alignment horizontal="center" vertical="center"/>
    </xf>
    <xf numFmtId="0" fontId="6" fillId="3" borderId="3" xfId="2" applyFont="1" applyBorder="1" applyAlignment="1">
      <alignment horizontal="center"/>
    </xf>
    <xf numFmtId="9" fontId="1" fillId="6" borderId="3" xfId="5" applyNumberFormat="1" applyBorder="1" applyAlignment="1">
      <alignment horizontal="center"/>
    </xf>
    <xf numFmtId="164" fontId="1" fillId="7" borderId="3" xfId="6" applyNumberFormat="1" applyBorder="1" applyAlignment="1">
      <alignment horizontal="center"/>
    </xf>
    <xf numFmtId="0" fontId="1" fillId="6" borderId="0" xfId="5" applyAlignment="1">
      <alignment horizontal="right"/>
    </xf>
    <xf numFmtId="0" fontId="1" fillId="6" borderId="0" xfId="5" applyBorder="1" applyAlignment="1">
      <alignment horizontal="right"/>
    </xf>
    <xf numFmtId="0" fontId="0" fillId="0" borderId="3" xfId="0" applyBorder="1" applyAlignment="1">
      <alignment horizontal="center"/>
    </xf>
    <xf numFmtId="0" fontId="7" fillId="4" borderId="3" xfId="3" applyFont="1" applyBorder="1" applyAlignment="1">
      <alignment horizontal="center" vertical="center"/>
    </xf>
    <xf numFmtId="0" fontId="7" fillId="4" borderId="3" xfId="3" applyFont="1" applyBorder="1" applyAlignment="1">
      <alignment horizontal="center"/>
    </xf>
    <xf numFmtId="0" fontId="8" fillId="4" borderId="3" xfId="3" applyFont="1" applyBorder="1" applyAlignment="1">
      <alignment horizontal="center"/>
    </xf>
    <xf numFmtId="0" fontId="1" fillId="6" borderId="3" xfId="5" applyBorder="1" applyAlignment="1">
      <alignment horizontal="left"/>
    </xf>
    <xf numFmtId="0" fontId="1" fillId="7" borderId="3" xfId="6" applyBorder="1" applyAlignment="1">
      <alignment horizontal="left"/>
    </xf>
  </cellXfs>
  <cellStyles count="8">
    <cellStyle name="20% - Accent1" xfId="5" builtinId="30"/>
    <cellStyle name="20% - Accent4" xfId="7" builtinId="42"/>
    <cellStyle name="60% - Accent1" xfId="6" builtinId="32"/>
    <cellStyle name="Accent1" xfId="4" builtinId="29"/>
    <cellStyle name="Input" xfId="2" builtinId="20"/>
    <cellStyle name="Neutral" xfId="1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B6DA-20E9-46ED-8AA5-BC0ADE27C973}">
  <dimension ref="A1:D8"/>
  <sheetViews>
    <sheetView zoomScaleNormal="100" workbookViewId="0">
      <selection sqref="A1:B1"/>
    </sheetView>
  </sheetViews>
  <sheetFormatPr defaultRowHeight="14.4" x14ac:dyDescent="0.3"/>
  <cols>
    <col min="1" max="1" width="21.5546875" customWidth="1"/>
    <col min="2" max="2" width="22.33203125" customWidth="1"/>
    <col min="4" max="4" width="13.6640625" customWidth="1"/>
  </cols>
  <sheetData>
    <row r="1" spans="1:4" ht="17.399999999999999" x14ac:dyDescent="0.3">
      <c r="A1" s="39" t="s">
        <v>0</v>
      </c>
      <c r="B1" s="39"/>
      <c r="D1" s="1"/>
    </row>
    <row r="2" spans="1:4" x14ac:dyDescent="0.3">
      <c r="A2" s="2" t="s">
        <v>1</v>
      </c>
      <c r="B2" s="3">
        <v>100000</v>
      </c>
    </row>
    <row r="3" spans="1:4" x14ac:dyDescent="0.3">
      <c r="A3" s="2" t="s">
        <v>2</v>
      </c>
      <c r="B3" s="4">
        <v>0.1</v>
      </c>
    </row>
    <row r="4" spans="1:4" x14ac:dyDescent="0.3">
      <c r="A4" s="2" t="s">
        <v>3</v>
      </c>
      <c r="B4" s="2">
        <v>3</v>
      </c>
    </row>
    <row r="5" spans="1:4" x14ac:dyDescent="0.3">
      <c r="A5" s="5" t="s">
        <v>0</v>
      </c>
      <c r="B5" s="6">
        <f>(B2*B3*B4)</f>
        <v>30000</v>
      </c>
    </row>
    <row r="6" spans="1:4" x14ac:dyDescent="0.3">
      <c r="A6" s="7" t="s">
        <v>4</v>
      </c>
      <c r="B6" s="8">
        <f>(B5+B2)</f>
        <v>130000</v>
      </c>
    </row>
    <row r="8" spans="1:4" x14ac:dyDescent="0.3">
      <c r="B8" s="34" t="s">
        <v>62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DA2F-9E13-4FE0-A00F-5C3ACE1278BE}">
  <dimension ref="A1:G18"/>
  <sheetViews>
    <sheetView zoomScaleNormal="100" workbookViewId="0">
      <selection activeCell="I9" sqref="I9"/>
    </sheetView>
  </sheetViews>
  <sheetFormatPr defaultRowHeight="14.4" x14ac:dyDescent="0.3"/>
  <cols>
    <col min="1" max="1" width="18.77734375" customWidth="1"/>
    <col min="2" max="2" width="17.33203125" customWidth="1"/>
    <col min="3" max="3" width="16.5546875" customWidth="1"/>
    <col min="4" max="4" width="17.6640625" customWidth="1"/>
    <col min="5" max="5" width="17.44140625" customWidth="1"/>
    <col min="7" max="7" width="10.33203125" bestFit="1" customWidth="1"/>
  </cols>
  <sheetData>
    <row r="1" spans="1:7" ht="17.399999999999999" x14ac:dyDescent="0.3">
      <c r="A1" s="39" t="s">
        <v>5</v>
      </c>
      <c r="B1" s="39"/>
      <c r="C1" s="39"/>
      <c r="D1" s="39"/>
      <c r="E1" s="39"/>
      <c r="G1" s="1"/>
    </row>
    <row r="2" spans="1:7" x14ac:dyDescent="0.3">
      <c r="A2" s="9" t="s">
        <v>6</v>
      </c>
      <c r="B2" s="10">
        <v>100000</v>
      </c>
      <c r="C2" s="10"/>
      <c r="D2" s="10"/>
      <c r="E2" s="10"/>
    </row>
    <row r="3" spans="1:7" x14ac:dyDescent="0.3">
      <c r="A3" s="9" t="s">
        <v>7</v>
      </c>
      <c r="B3" s="11">
        <v>0.1</v>
      </c>
      <c r="C3" s="11"/>
      <c r="D3" s="11"/>
      <c r="E3" s="11"/>
    </row>
    <row r="4" spans="1:7" x14ac:dyDescent="0.3">
      <c r="A4" s="9" t="s">
        <v>8</v>
      </c>
      <c r="B4" s="12">
        <v>10</v>
      </c>
      <c r="C4" s="12"/>
      <c r="D4" s="12"/>
      <c r="E4" s="12"/>
    </row>
    <row r="5" spans="1:7" x14ac:dyDescent="0.3">
      <c r="A5" s="13"/>
      <c r="B5" s="13"/>
      <c r="C5" s="13"/>
      <c r="D5" s="13"/>
      <c r="E5" s="13"/>
    </row>
    <row r="6" spans="1:7" x14ac:dyDescent="0.3">
      <c r="A6" s="14" t="s">
        <v>9</v>
      </c>
      <c r="B6" s="14" t="s">
        <v>10</v>
      </c>
      <c r="C6" s="14" t="s">
        <v>11</v>
      </c>
      <c r="D6" s="14" t="s">
        <v>12</v>
      </c>
      <c r="E6" s="14" t="s">
        <v>13</v>
      </c>
    </row>
    <row r="7" spans="1:7" x14ac:dyDescent="0.3">
      <c r="A7" s="15">
        <v>1</v>
      </c>
      <c r="B7" s="16">
        <f>B2</f>
        <v>100000</v>
      </c>
      <c r="C7" s="16">
        <f>B7*$B$3</f>
        <v>10000</v>
      </c>
      <c r="D7" s="16">
        <f>B7+C7</f>
        <v>110000</v>
      </c>
      <c r="E7" s="15" t="s">
        <v>14</v>
      </c>
    </row>
    <row r="8" spans="1:7" x14ac:dyDescent="0.3">
      <c r="A8" s="15">
        <v>2</v>
      </c>
      <c r="B8" s="16">
        <f>D7</f>
        <v>110000</v>
      </c>
      <c r="C8" s="16">
        <f t="shared" ref="C8:C16" si="0">B8*$B$3</f>
        <v>11000</v>
      </c>
      <c r="D8" s="16">
        <f t="shared" ref="D8:D16" si="1">B8+C8</f>
        <v>121000</v>
      </c>
      <c r="E8" s="15" t="s">
        <v>15</v>
      </c>
    </row>
    <row r="9" spans="1:7" x14ac:dyDescent="0.3">
      <c r="A9" s="15">
        <v>3</v>
      </c>
      <c r="B9" s="16">
        <f t="shared" ref="B9:B16" si="2">D8</f>
        <v>121000</v>
      </c>
      <c r="C9" s="16">
        <f t="shared" si="0"/>
        <v>12100</v>
      </c>
      <c r="D9" s="16">
        <f t="shared" si="1"/>
        <v>133100</v>
      </c>
      <c r="E9" s="15" t="s">
        <v>16</v>
      </c>
    </row>
    <row r="10" spans="1:7" x14ac:dyDescent="0.3">
      <c r="A10" s="15">
        <v>4</v>
      </c>
      <c r="B10" s="16">
        <f t="shared" si="2"/>
        <v>133100</v>
      </c>
      <c r="C10" s="16">
        <f t="shared" si="0"/>
        <v>13310</v>
      </c>
      <c r="D10" s="16">
        <f t="shared" si="1"/>
        <v>146410</v>
      </c>
      <c r="E10" s="15" t="s">
        <v>17</v>
      </c>
    </row>
    <row r="11" spans="1:7" x14ac:dyDescent="0.3">
      <c r="A11" s="15">
        <v>5</v>
      </c>
      <c r="B11" s="16">
        <f t="shared" si="2"/>
        <v>146410</v>
      </c>
      <c r="C11" s="16">
        <f t="shared" si="0"/>
        <v>14641</v>
      </c>
      <c r="D11" s="16">
        <f t="shared" si="1"/>
        <v>161051</v>
      </c>
      <c r="E11" s="15" t="s">
        <v>18</v>
      </c>
    </row>
    <row r="12" spans="1:7" x14ac:dyDescent="0.3">
      <c r="A12" s="15">
        <v>6</v>
      </c>
      <c r="B12" s="16">
        <f t="shared" si="2"/>
        <v>161051</v>
      </c>
      <c r="C12" s="16">
        <f t="shared" si="0"/>
        <v>16105.1</v>
      </c>
      <c r="D12" s="16">
        <f t="shared" si="1"/>
        <v>177156.1</v>
      </c>
      <c r="E12" s="15" t="s">
        <v>19</v>
      </c>
    </row>
    <row r="13" spans="1:7" x14ac:dyDescent="0.3">
      <c r="A13" s="15">
        <v>7</v>
      </c>
      <c r="B13" s="16">
        <f t="shared" si="2"/>
        <v>177156.1</v>
      </c>
      <c r="C13" s="16">
        <f t="shared" si="0"/>
        <v>17715.61</v>
      </c>
      <c r="D13" s="16">
        <f t="shared" si="1"/>
        <v>194871.71000000002</v>
      </c>
      <c r="E13" s="15" t="s">
        <v>20</v>
      </c>
    </row>
    <row r="14" spans="1:7" x14ac:dyDescent="0.3">
      <c r="A14" s="15">
        <v>8</v>
      </c>
      <c r="B14" s="16">
        <f t="shared" si="2"/>
        <v>194871.71000000002</v>
      </c>
      <c r="C14" s="16">
        <f t="shared" si="0"/>
        <v>19487.171000000002</v>
      </c>
      <c r="D14" s="16">
        <f t="shared" si="1"/>
        <v>214358.88100000002</v>
      </c>
      <c r="E14" s="15" t="s">
        <v>21</v>
      </c>
    </row>
    <row r="15" spans="1:7" x14ac:dyDescent="0.3">
      <c r="A15" s="15">
        <v>9</v>
      </c>
      <c r="B15" s="16">
        <f t="shared" si="2"/>
        <v>214358.88100000002</v>
      </c>
      <c r="C15" s="16">
        <f t="shared" si="0"/>
        <v>21435.888100000004</v>
      </c>
      <c r="D15" s="16">
        <f t="shared" si="1"/>
        <v>235794.76910000003</v>
      </c>
      <c r="E15" s="15" t="s">
        <v>22</v>
      </c>
    </row>
    <row r="16" spans="1:7" x14ac:dyDescent="0.3">
      <c r="A16" s="15">
        <v>10</v>
      </c>
      <c r="B16" s="16">
        <f t="shared" si="2"/>
        <v>235794.76910000003</v>
      </c>
      <c r="C16" s="16">
        <f t="shared" si="0"/>
        <v>23579.476910000005</v>
      </c>
      <c r="D16" s="16">
        <f t="shared" si="1"/>
        <v>259374.24601000003</v>
      </c>
      <c r="E16" s="15" t="s">
        <v>23</v>
      </c>
    </row>
    <row r="18" spans="5:5" x14ac:dyDescent="0.3">
      <c r="E18" s="35" t="s">
        <v>62</v>
      </c>
    </row>
  </sheetData>
  <mergeCells count="4">
    <mergeCell ref="A1:E1"/>
    <mergeCell ref="B2:E2"/>
    <mergeCell ref="B3:E3"/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4C57-4F8C-4C32-B9A6-CF0530D1BBFA}">
  <dimension ref="A1:H10"/>
  <sheetViews>
    <sheetView zoomScaleNormal="98" workbookViewId="0">
      <selection activeCell="E18" sqref="E18"/>
    </sheetView>
  </sheetViews>
  <sheetFormatPr defaultRowHeight="14.4" x14ac:dyDescent="0.3"/>
  <cols>
    <col min="1" max="1" width="21.6640625" customWidth="1"/>
    <col min="2" max="2" width="20.5546875" customWidth="1"/>
    <col min="3" max="3" width="3.44140625" customWidth="1"/>
    <col min="4" max="4" width="3.5546875" customWidth="1"/>
    <col min="5" max="5" width="22.6640625" customWidth="1"/>
    <col min="6" max="6" width="20.44140625" customWidth="1"/>
    <col min="8" max="8" width="11.109375" bestFit="1" customWidth="1"/>
  </cols>
  <sheetData>
    <row r="1" spans="1:8" ht="17.399999999999999" x14ac:dyDescent="0.3">
      <c r="A1" s="39" t="s">
        <v>24</v>
      </c>
      <c r="B1" s="39"/>
      <c r="E1" s="39" t="s">
        <v>25</v>
      </c>
      <c r="F1" s="39"/>
      <c r="H1" s="1"/>
    </row>
    <row r="2" spans="1:8" x14ac:dyDescent="0.3">
      <c r="A2" s="17" t="s">
        <v>26</v>
      </c>
      <c r="B2" s="17"/>
      <c r="E2" s="17" t="s">
        <v>26</v>
      </c>
      <c r="F2" s="17"/>
    </row>
    <row r="3" spans="1:8" x14ac:dyDescent="0.3">
      <c r="A3" s="2" t="s">
        <v>27</v>
      </c>
      <c r="B3" s="3">
        <v>10000</v>
      </c>
      <c r="E3" s="2" t="s">
        <v>27</v>
      </c>
      <c r="F3" s="3">
        <v>60000</v>
      </c>
    </row>
    <row r="4" spans="1:8" x14ac:dyDescent="0.3">
      <c r="A4" s="2" t="s">
        <v>28</v>
      </c>
      <c r="B4" s="4">
        <v>0.08</v>
      </c>
      <c r="E4" s="2" t="s">
        <v>28</v>
      </c>
      <c r="F4" s="4">
        <v>7.0000000000000007E-2</v>
      </c>
    </row>
    <row r="5" spans="1:8" x14ac:dyDescent="0.3">
      <c r="A5" s="2" t="s">
        <v>8</v>
      </c>
      <c r="B5" s="2">
        <v>5</v>
      </c>
      <c r="E5" s="2" t="s">
        <v>8</v>
      </c>
      <c r="F5" s="2">
        <v>5</v>
      </c>
    </row>
    <row r="6" spans="1:8" x14ac:dyDescent="0.3">
      <c r="A6" s="5" t="s">
        <v>26</v>
      </c>
      <c r="B6" s="18">
        <f>PV(B4,B5,-B3,0)</f>
        <v>39927.10037078087</v>
      </c>
      <c r="E6" s="5" t="s">
        <v>26</v>
      </c>
      <c r="F6" s="18">
        <f>PV(F4,F5,-F3,0,1)</f>
        <v>263232.6753878356</v>
      </c>
    </row>
    <row r="8" spans="1:8" x14ac:dyDescent="0.3">
      <c r="F8" s="34" t="s">
        <v>63</v>
      </c>
    </row>
    <row r="10" spans="1:8" x14ac:dyDescent="0.3">
      <c r="E10" s="13"/>
    </row>
  </sheetData>
  <mergeCells count="4">
    <mergeCell ref="A1:B1"/>
    <mergeCell ref="E1:F1"/>
    <mergeCell ref="A2:B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81115-CF61-4FBC-A1EA-70C257BB1EC6}">
  <dimension ref="A1:H8"/>
  <sheetViews>
    <sheetView workbookViewId="0">
      <selection activeCell="F19" sqref="F19"/>
    </sheetView>
  </sheetViews>
  <sheetFormatPr defaultRowHeight="14.4" x14ac:dyDescent="0.3"/>
  <cols>
    <col min="1" max="1" width="22" customWidth="1"/>
    <col min="2" max="2" width="21" customWidth="1"/>
    <col min="3" max="3" width="3.33203125" customWidth="1"/>
    <col min="4" max="4" width="3.21875" customWidth="1"/>
    <col min="5" max="5" width="22.44140625" customWidth="1"/>
    <col min="6" max="6" width="21.21875" customWidth="1"/>
    <col min="8" max="8" width="10.33203125" bestFit="1" customWidth="1"/>
  </cols>
  <sheetData>
    <row r="1" spans="1:8" ht="17.399999999999999" x14ac:dyDescent="0.3">
      <c r="A1" s="39" t="s">
        <v>24</v>
      </c>
      <c r="B1" s="39"/>
      <c r="E1" s="39" t="s">
        <v>25</v>
      </c>
      <c r="F1" s="39"/>
      <c r="H1" s="1"/>
    </row>
    <row r="2" spans="1:8" x14ac:dyDescent="0.3">
      <c r="A2" s="17" t="s">
        <v>29</v>
      </c>
      <c r="B2" s="17"/>
      <c r="E2" s="17" t="s">
        <v>29</v>
      </c>
      <c r="F2" s="17"/>
    </row>
    <row r="3" spans="1:8" x14ac:dyDescent="0.3">
      <c r="A3" s="2" t="s">
        <v>30</v>
      </c>
      <c r="B3" s="3">
        <v>10000</v>
      </c>
      <c r="E3" s="2" t="s">
        <v>30</v>
      </c>
      <c r="F3" s="3">
        <v>12000</v>
      </c>
    </row>
    <row r="4" spans="1:8" x14ac:dyDescent="0.3">
      <c r="A4" s="2" t="s">
        <v>28</v>
      </c>
      <c r="B4" s="4">
        <v>0.08</v>
      </c>
      <c r="E4" s="2" t="s">
        <v>28</v>
      </c>
      <c r="F4" s="4">
        <v>0.08</v>
      </c>
    </row>
    <row r="5" spans="1:8" x14ac:dyDescent="0.3">
      <c r="A5" s="2" t="s">
        <v>8</v>
      </c>
      <c r="B5" s="2">
        <v>5</v>
      </c>
      <c r="E5" s="2" t="s">
        <v>8</v>
      </c>
      <c r="F5" s="2">
        <v>4</v>
      </c>
    </row>
    <row r="6" spans="1:8" x14ac:dyDescent="0.3">
      <c r="A6" s="5" t="s">
        <v>29</v>
      </c>
      <c r="B6" s="18">
        <f>FV(B4,B5,-B3,0)</f>
        <v>58666.009600000041</v>
      </c>
      <c r="E6" s="5" t="s">
        <v>29</v>
      </c>
      <c r="F6" s="18">
        <f>FV(F4,F5,-F3,0,1)</f>
        <v>58399.211520000048</v>
      </c>
    </row>
    <row r="8" spans="1:8" x14ac:dyDescent="0.3">
      <c r="F8" s="34" t="s">
        <v>63</v>
      </c>
    </row>
  </sheetData>
  <mergeCells count="4">
    <mergeCell ref="A1:B1"/>
    <mergeCell ref="E1:F1"/>
    <mergeCell ref="A2:B2"/>
    <mergeCell ref="E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83F74-3AC9-49E2-AA40-775E7FCD2A37}">
  <dimension ref="A1:D14"/>
  <sheetViews>
    <sheetView zoomScaleNormal="100" workbookViewId="0">
      <selection activeCell="B21" sqref="B21"/>
    </sheetView>
  </sheetViews>
  <sheetFormatPr defaultRowHeight="14.4" x14ac:dyDescent="0.3"/>
  <cols>
    <col min="1" max="1" width="24.44140625" customWidth="1"/>
    <col min="2" max="2" width="22.109375" customWidth="1"/>
    <col min="4" max="4" width="16.109375" customWidth="1"/>
  </cols>
  <sheetData>
    <row r="1" spans="1:4" ht="17.399999999999999" x14ac:dyDescent="0.3">
      <c r="A1" s="39" t="s">
        <v>31</v>
      </c>
      <c r="B1" s="39"/>
      <c r="D1" s="1"/>
    </row>
    <row r="2" spans="1:4" x14ac:dyDescent="0.3">
      <c r="A2" s="2" t="s">
        <v>32</v>
      </c>
      <c r="B2" s="3">
        <v>500000</v>
      </c>
    </row>
    <row r="3" spans="1:4" x14ac:dyDescent="0.3">
      <c r="A3" s="2" t="s">
        <v>33</v>
      </c>
      <c r="B3" s="4">
        <v>0.1</v>
      </c>
    </row>
    <row r="4" spans="1:4" x14ac:dyDescent="0.3">
      <c r="A4" s="2" t="s">
        <v>34</v>
      </c>
      <c r="B4" s="2">
        <v>10</v>
      </c>
    </row>
    <row r="5" spans="1:4" ht="4.8" customHeight="1" x14ac:dyDescent="0.3">
      <c r="A5" s="36"/>
      <c r="B5" s="36"/>
    </row>
    <row r="6" spans="1:4" x14ac:dyDescent="0.3">
      <c r="A6" s="7" t="s">
        <v>35</v>
      </c>
      <c r="B6" s="19">
        <f>PMT(B3,B4,-B2,1)</f>
        <v>81372.634695860921</v>
      </c>
    </row>
    <row r="7" spans="1:4" ht="4.8" customHeight="1" x14ac:dyDescent="0.3">
      <c r="A7" s="36"/>
      <c r="B7" s="36"/>
    </row>
    <row r="8" spans="1:4" x14ac:dyDescent="0.3">
      <c r="A8" s="7" t="s">
        <v>36</v>
      </c>
      <c r="B8" s="19">
        <f>PMT(B3/12,B4*12,-B2,1)</f>
        <v>6607.531962347728</v>
      </c>
    </row>
    <row r="9" spans="1:4" ht="5.4" customHeight="1" x14ac:dyDescent="0.3">
      <c r="A9" s="36"/>
      <c r="B9" s="36"/>
    </row>
    <row r="10" spans="1:4" x14ac:dyDescent="0.3">
      <c r="A10" s="7" t="s">
        <v>37</v>
      </c>
      <c r="B10" s="19">
        <f>PMT(B3/4,B4*4,-B2,1)</f>
        <v>19918.101745001746</v>
      </c>
    </row>
    <row r="11" spans="1:4" ht="5.4" customHeight="1" x14ac:dyDescent="0.3">
      <c r="A11" s="36"/>
      <c r="B11" s="36"/>
    </row>
    <row r="12" spans="1:4" x14ac:dyDescent="0.3">
      <c r="A12" s="7" t="s">
        <v>38</v>
      </c>
      <c r="B12" s="19">
        <f>PMT(B3/2,B4*2,-B2,1)</f>
        <v>40121.263352758469</v>
      </c>
    </row>
    <row r="14" spans="1:4" x14ac:dyDescent="0.3">
      <c r="B14" s="34" t="s">
        <v>63</v>
      </c>
    </row>
  </sheetData>
  <mergeCells count="5">
    <mergeCell ref="A1:B1"/>
    <mergeCell ref="A7:B7"/>
    <mergeCell ref="A11:B11"/>
    <mergeCell ref="A9:B9"/>
    <mergeCell ref="A5: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6A2E-3B91-42F4-A10C-85A842F8C90F}">
  <dimension ref="A1:G9"/>
  <sheetViews>
    <sheetView zoomScaleNormal="100" workbookViewId="0">
      <selection sqref="A1:E1"/>
    </sheetView>
  </sheetViews>
  <sheetFormatPr defaultRowHeight="14.4" x14ac:dyDescent="0.3"/>
  <cols>
    <col min="1" max="1" width="24.33203125" customWidth="1"/>
    <col min="2" max="2" width="15.33203125" customWidth="1"/>
    <col min="3" max="3" width="16" customWidth="1"/>
    <col min="4" max="4" width="16.33203125" customWidth="1"/>
    <col min="5" max="5" width="16.77734375" customWidth="1"/>
    <col min="7" max="7" width="10.44140625" bestFit="1" customWidth="1"/>
  </cols>
  <sheetData>
    <row r="1" spans="1:7" ht="17.399999999999999" x14ac:dyDescent="0.3">
      <c r="A1" s="38" t="s">
        <v>39</v>
      </c>
      <c r="B1" s="38"/>
      <c r="C1" s="38"/>
      <c r="D1" s="38"/>
      <c r="E1" s="38"/>
      <c r="G1" s="1"/>
    </row>
    <row r="2" spans="1:7" x14ac:dyDescent="0.3">
      <c r="A2" s="20" t="s">
        <v>40</v>
      </c>
      <c r="B2" s="20"/>
      <c r="C2" s="20"/>
      <c r="D2" s="20"/>
      <c r="E2" s="20"/>
    </row>
    <row r="3" spans="1:7" x14ac:dyDescent="0.3">
      <c r="A3" s="2" t="s">
        <v>41</v>
      </c>
      <c r="B3" s="21">
        <v>15000</v>
      </c>
      <c r="C3" s="21"/>
      <c r="D3" s="21"/>
      <c r="E3" s="21"/>
    </row>
    <row r="4" spans="1:7" x14ac:dyDescent="0.3">
      <c r="A4" s="2" t="s">
        <v>42</v>
      </c>
      <c r="B4" s="22">
        <v>0.08</v>
      </c>
      <c r="C4" s="22"/>
      <c r="D4" s="22"/>
      <c r="E4" s="22"/>
    </row>
    <row r="5" spans="1:7" x14ac:dyDescent="0.3">
      <c r="A5" s="2"/>
      <c r="B5" s="15" t="s">
        <v>43</v>
      </c>
      <c r="C5" s="15" t="s">
        <v>44</v>
      </c>
      <c r="D5" s="15" t="s">
        <v>45</v>
      </c>
      <c r="E5" s="15" t="s">
        <v>46</v>
      </c>
    </row>
    <row r="6" spans="1:7" x14ac:dyDescent="0.3">
      <c r="A6" s="2" t="s">
        <v>47</v>
      </c>
      <c r="B6" s="3">
        <v>5000</v>
      </c>
      <c r="C6" s="3">
        <v>5000</v>
      </c>
      <c r="D6" s="3">
        <v>5000</v>
      </c>
      <c r="E6" s="3">
        <v>5000</v>
      </c>
    </row>
    <row r="7" spans="1:7" x14ac:dyDescent="0.3">
      <c r="A7" s="5" t="s">
        <v>40</v>
      </c>
      <c r="B7" s="23">
        <f>NPV(B4,B6:E6)-B3</f>
        <v>1560.6342002216588</v>
      </c>
      <c r="C7" s="23"/>
      <c r="D7" s="23"/>
      <c r="E7" s="23"/>
    </row>
    <row r="9" spans="1:7" x14ac:dyDescent="0.3">
      <c r="E9" s="34" t="s">
        <v>64</v>
      </c>
    </row>
  </sheetData>
  <mergeCells count="5">
    <mergeCell ref="A1:E1"/>
    <mergeCell ref="A2:E2"/>
    <mergeCell ref="B3:E3"/>
    <mergeCell ref="B4:E4"/>
    <mergeCell ref="B7:E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05AB-1131-4AEA-9108-FC760A87CB90}">
  <dimension ref="A1:F11"/>
  <sheetViews>
    <sheetView zoomScaleNormal="100" workbookViewId="0">
      <selection activeCell="C20" sqref="C20"/>
    </sheetView>
  </sheetViews>
  <sheetFormatPr defaultRowHeight="14.4" x14ac:dyDescent="0.3"/>
  <cols>
    <col min="1" max="1" width="23.33203125" customWidth="1"/>
    <col min="2" max="2" width="19.44140625" customWidth="1"/>
    <col min="3" max="3" width="17.44140625" customWidth="1"/>
    <col min="4" max="4" width="18.44140625" customWidth="1"/>
    <col min="6" max="6" width="10.44140625" bestFit="1" customWidth="1"/>
  </cols>
  <sheetData>
    <row r="1" spans="1:6" ht="17.399999999999999" x14ac:dyDescent="0.3">
      <c r="A1" s="37" t="s">
        <v>48</v>
      </c>
      <c r="B1" s="37"/>
      <c r="C1" s="37"/>
      <c r="D1" s="37"/>
      <c r="F1" s="1"/>
    </row>
    <row r="2" spans="1:6" x14ac:dyDescent="0.3">
      <c r="A2" s="24" t="s">
        <v>40</v>
      </c>
      <c r="B2" s="24"/>
      <c r="C2" s="24"/>
      <c r="D2" s="24"/>
    </row>
    <row r="3" spans="1:6" x14ac:dyDescent="0.3">
      <c r="A3" s="25" t="s">
        <v>41</v>
      </c>
      <c r="B3" s="26">
        <v>100000</v>
      </c>
      <c r="C3" s="26">
        <v>120000</v>
      </c>
      <c r="D3" s="26">
        <v>135000</v>
      </c>
    </row>
    <row r="4" spans="1:6" x14ac:dyDescent="0.3">
      <c r="A4" s="25" t="s">
        <v>42</v>
      </c>
      <c r="B4" s="27">
        <v>0.08</v>
      </c>
      <c r="C4" s="27">
        <v>0.08</v>
      </c>
      <c r="D4" s="27">
        <v>0.08</v>
      </c>
    </row>
    <row r="5" spans="1:6" x14ac:dyDescent="0.3">
      <c r="A5" s="28"/>
      <c r="B5" s="28" t="s">
        <v>49</v>
      </c>
      <c r="C5" s="28" t="s">
        <v>50</v>
      </c>
      <c r="D5" s="28" t="s">
        <v>51</v>
      </c>
    </row>
    <row r="6" spans="1:6" x14ac:dyDescent="0.3">
      <c r="A6" s="25" t="s">
        <v>43</v>
      </c>
      <c r="B6" s="26">
        <v>35000</v>
      </c>
      <c r="C6" s="26">
        <v>45000</v>
      </c>
      <c r="D6" s="26">
        <v>50000</v>
      </c>
    </row>
    <row r="7" spans="1:6" x14ac:dyDescent="0.3">
      <c r="A7" s="25" t="s">
        <v>44</v>
      </c>
      <c r="B7" s="26">
        <v>40000</v>
      </c>
      <c r="C7" s="26">
        <v>50000</v>
      </c>
      <c r="D7" s="26">
        <v>55000</v>
      </c>
    </row>
    <row r="8" spans="1:6" x14ac:dyDescent="0.3">
      <c r="A8" s="25" t="s">
        <v>45</v>
      </c>
      <c r="B8" s="26">
        <v>45000</v>
      </c>
      <c r="C8" s="26">
        <v>55000</v>
      </c>
      <c r="D8" s="26">
        <v>60000</v>
      </c>
    </row>
    <row r="9" spans="1:6" x14ac:dyDescent="0.3">
      <c r="A9" s="29" t="s">
        <v>52</v>
      </c>
      <c r="B9" s="30">
        <f>NPV(B4,B6:B8)-B3</f>
        <v>2423.4110653863609</v>
      </c>
      <c r="C9" s="30">
        <f t="shared" ref="C9:D9" si="0">NPV(C4,C6:C8)-C3</f>
        <v>8194.3809378651495</v>
      </c>
      <c r="D9" s="30">
        <f t="shared" si="0"/>
        <v>6079.865874104551</v>
      </c>
    </row>
    <row r="11" spans="1:6" x14ac:dyDescent="0.3">
      <c r="D11" s="34" t="s">
        <v>64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438F-7A9C-4561-AE44-8DFA2FCD199E}">
  <dimension ref="A1:D12"/>
  <sheetViews>
    <sheetView tabSelected="1" zoomScaleNormal="100" workbookViewId="0">
      <selection activeCell="B21" sqref="B21"/>
    </sheetView>
  </sheetViews>
  <sheetFormatPr defaultRowHeight="14.4" x14ac:dyDescent="0.3"/>
  <cols>
    <col min="1" max="1" width="28.6640625" customWidth="1"/>
    <col min="2" max="2" width="24.77734375" customWidth="1"/>
    <col min="4" max="4" width="10.44140625" bestFit="1" customWidth="1"/>
  </cols>
  <sheetData>
    <row r="1" spans="1:4" ht="17.399999999999999" x14ac:dyDescent="0.3">
      <c r="A1" s="39" t="s">
        <v>53</v>
      </c>
      <c r="B1" s="39"/>
      <c r="D1" s="1"/>
    </row>
    <row r="2" spans="1:4" x14ac:dyDescent="0.3">
      <c r="A2" s="31" t="s">
        <v>54</v>
      </c>
      <c r="B2" s="31" t="s">
        <v>55</v>
      </c>
    </row>
    <row r="3" spans="1:4" x14ac:dyDescent="0.3">
      <c r="A3" s="40" t="s">
        <v>56</v>
      </c>
      <c r="B3" s="16">
        <v>1200000</v>
      </c>
    </row>
    <row r="4" spans="1:4" x14ac:dyDescent="0.3">
      <c r="A4" s="40" t="s">
        <v>57</v>
      </c>
      <c r="B4" s="32">
        <v>0.15</v>
      </c>
    </row>
    <row r="5" spans="1:4" x14ac:dyDescent="0.3">
      <c r="A5" s="41" t="s">
        <v>58</v>
      </c>
      <c r="B5" s="33">
        <f>B3*(1-B4)</f>
        <v>1020000</v>
      </c>
    </row>
    <row r="6" spans="1:4" ht="6" customHeight="1" x14ac:dyDescent="0.3">
      <c r="A6" s="36"/>
      <c r="B6" s="36"/>
    </row>
    <row r="7" spans="1:4" x14ac:dyDescent="0.3">
      <c r="A7" s="40" t="s">
        <v>59</v>
      </c>
      <c r="B7" s="16">
        <v>12000</v>
      </c>
    </row>
    <row r="8" spans="1:4" x14ac:dyDescent="0.3">
      <c r="A8" s="40" t="s">
        <v>60</v>
      </c>
      <c r="B8" s="16">
        <v>35000</v>
      </c>
    </row>
    <row r="9" spans="1:4" x14ac:dyDescent="0.3">
      <c r="A9" s="40" t="s">
        <v>61</v>
      </c>
      <c r="B9" s="16">
        <v>125000</v>
      </c>
    </row>
    <row r="10" spans="1:4" x14ac:dyDescent="0.3">
      <c r="A10" s="41" t="s">
        <v>53</v>
      </c>
      <c r="B10" s="33">
        <f>B5+B7-B8-B9</f>
        <v>872000</v>
      </c>
    </row>
    <row r="12" spans="1:4" x14ac:dyDescent="0.3">
      <c r="B12" s="34" t="s">
        <v>64</v>
      </c>
    </row>
  </sheetData>
  <mergeCells count="2">
    <mergeCell ref="A1:B1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P1-Simple Interest</vt:lpstr>
      <vt:lpstr>P2-Compound Interest </vt:lpstr>
      <vt:lpstr>P3-Present Value</vt:lpstr>
      <vt:lpstr>P4-Future Value</vt:lpstr>
      <vt:lpstr>P5-Cash Payment(EMI)</vt:lpstr>
      <vt:lpstr>P6-NPV </vt:lpstr>
      <vt:lpstr>P7-NPV Comparing</vt:lpstr>
      <vt:lpstr>P8-Free 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Khandare</dc:creator>
  <cp:lastModifiedBy>Anisha Khandare</cp:lastModifiedBy>
  <dcterms:created xsi:type="dcterms:W3CDTF">2026-01-20T12:34:51Z</dcterms:created>
  <dcterms:modified xsi:type="dcterms:W3CDTF">2026-01-20T13:03:04Z</dcterms:modified>
</cp:coreProperties>
</file>